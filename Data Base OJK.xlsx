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0. UNIT PRICING\PROJECT\2026\05. Pricing Askred\"/>
    </mc:Choice>
  </mc:AlternateContent>
  <xr:revisionPtr revIDLastSave="0" documentId="8_{5F486B20-EC0F-4A14-B385-B8B0523A032E}" xr6:coauthVersionLast="47" xr6:coauthVersionMax="47" xr10:uidLastSave="{00000000-0000-0000-0000-000000000000}"/>
  <bookViews>
    <workbookView xWindow="-110" yWindow="-110" windowWidth="25820" windowHeight="15620" activeTab="2" xr2:uid="{00000000-000D-0000-FFFF-FFFF00000000}"/>
  </bookViews>
  <sheets>
    <sheet name="NPL Produktif per Provinsi" sheetId="1" r:id="rId1"/>
    <sheet name="NPL Konsumtif per Provinsi" sheetId="2" r:id="rId2"/>
    <sheet name="NPL Jenis Bank" sheetId="3" r:id="rId3"/>
    <sheet name="NPL Sekto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2" l="1"/>
  <c r="D4" i="1"/>
  <c r="D36" i="2"/>
  <c r="D19" i="4"/>
  <c r="D5" i="4"/>
  <c r="D31" i="2"/>
  <c r="D29" i="2"/>
  <c r="D22" i="2"/>
  <c r="D21" i="2"/>
  <c r="D19" i="2"/>
  <c r="D15" i="2"/>
  <c r="D13" i="2"/>
  <c r="D6" i="2"/>
  <c r="D4" i="2"/>
  <c r="D19" i="1"/>
  <c r="D38" i="1"/>
  <c r="D21" i="4" l="1"/>
  <c r="D6" i="4"/>
  <c r="D22" i="4"/>
  <c r="D7" i="4"/>
  <c r="D23" i="4"/>
  <c r="D25" i="4"/>
  <c r="D10" i="4"/>
  <c r="D26" i="4"/>
  <c r="D11" i="4"/>
  <c r="D17" i="4"/>
  <c r="D13" i="4"/>
  <c r="D14" i="4"/>
  <c r="D15" i="4"/>
  <c r="D18" i="4"/>
  <c r="D3" i="4"/>
  <c r="D4" i="4"/>
  <c r="D20" i="4"/>
  <c r="D24" i="4"/>
  <c r="D8" i="4"/>
  <c r="D12" i="4"/>
  <c r="D16" i="4"/>
  <c r="D4" i="3"/>
  <c r="D6" i="3"/>
  <c r="D3" i="2"/>
  <c r="D20" i="2"/>
  <c r="D9" i="2"/>
  <c r="D11" i="2"/>
  <c r="D12" i="2"/>
  <c r="D28" i="2"/>
  <c r="D14" i="2"/>
  <c r="D17" i="2"/>
  <c r="D33" i="2"/>
  <c r="D18" i="2"/>
  <c r="D34" i="2"/>
  <c r="D7" i="2"/>
  <c r="D8" i="2"/>
  <c r="D25" i="2"/>
  <c r="D10" i="2"/>
  <c r="D30" i="2"/>
  <c r="D16" i="2"/>
  <c r="D35" i="2"/>
  <c r="D23" i="2"/>
  <c r="D24" i="2"/>
  <c r="D26" i="2"/>
  <c r="D27" i="2"/>
  <c r="D32" i="2"/>
  <c r="D3" i="1"/>
  <c r="D35" i="1"/>
  <c r="D20" i="1"/>
  <c r="D6" i="1"/>
  <c r="D7" i="1"/>
  <c r="D21" i="1"/>
  <c r="D22" i="1"/>
  <c r="D36" i="1"/>
  <c r="D23" i="1"/>
  <c r="D8" i="1"/>
  <c r="D24" i="1"/>
  <c r="D25" i="1"/>
  <c r="D10" i="1"/>
  <c r="D26" i="1"/>
  <c r="D9" i="1"/>
  <c r="D27" i="1"/>
  <c r="D11" i="1"/>
  <c r="D12" i="1"/>
  <c r="D28" i="1"/>
  <c r="D29" i="1"/>
  <c r="D14" i="1"/>
  <c r="D30" i="1"/>
  <c r="D31" i="1"/>
  <c r="D16" i="1"/>
  <c r="D32" i="1"/>
  <c r="D15" i="1"/>
  <c r="D17" i="1"/>
  <c r="D33" i="1"/>
  <c r="D13" i="1"/>
  <c r="D18" i="1"/>
  <c r="D34" i="1"/>
  <c r="D3" i="3"/>
</calcChain>
</file>

<file path=xl/sharedStrings.xml><?xml version="1.0" encoding="utf-8"?>
<sst xmlns="http://schemas.openxmlformats.org/spreadsheetml/2006/main" count="114" uniqueCount="69">
  <si>
    <t>Average NPL</t>
  </si>
  <si>
    <t>Average Relativity</t>
  </si>
  <si>
    <t>Jawa Barat</t>
  </si>
  <si>
    <t>Banten</t>
  </si>
  <si>
    <t>DKI Jakarta</t>
  </si>
  <si>
    <t>D.I Yogyakarta</t>
  </si>
  <si>
    <t>Jawa Tengah</t>
  </si>
  <si>
    <t>Jawa Timur</t>
  </si>
  <si>
    <t>Bengkulu</t>
  </si>
  <si>
    <t>Jambi</t>
  </si>
  <si>
    <t xml:space="preserve">Aceh </t>
  </si>
  <si>
    <t>Sumatera Utara</t>
  </si>
  <si>
    <t>Sumatera Barat</t>
  </si>
  <si>
    <t>Riau</t>
  </si>
  <si>
    <t>Sumatera Selatan</t>
  </si>
  <si>
    <t>Bangka Belitung</t>
  </si>
  <si>
    <t>Kepulauan Riau</t>
  </si>
  <si>
    <t>Lampung</t>
  </si>
  <si>
    <t>Kalimantan Selatan</t>
  </si>
  <si>
    <t>Kalimantan Barat</t>
  </si>
  <si>
    <t>Kalimantan Timur</t>
  </si>
  <si>
    <t>Kalimantan Tengah</t>
  </si>
  <si>
    <t>Sulawesi Tengah</t>
  </si>
  <si>
    <t>Sulawesi Selatan</t>
  </si>
  <si>
    <t>Sulawesi Utara</t>
  </si>
  <si>
    <t>Gorontalo</t>
  </si>
  <si>
    <t>Sulawesi Barat</t>
  </si>
  <si>
    <t>Sulawesi Tenggara</t>
  </si>
  <si>
    <t>Nusa Tenggara Barat</t>
  </si>
  <si>
    <t>Bali</t>
  </si>
  <si>
    <t>Nusa Tenggara Timur</t>
  </si>
  <si>
    <t xml:space="preserve">Maluku </t>
  </si>
  <si>
    <t>Papua</t>
  </si>
  <si>
    <t>Maluku Utara</t>
  </si>
  <si>
    <t>Papua Barat</t>
  </si>
  <si>
    <t>Lainnya</t>
  </si>
  <si>
    <t>Jenis Bank</t>
  </si>
  <si>
    <t>Bank Persero</t>
  </si>
  <si>
    <t>BPD</t>
  </si>
  <si>
    <t>Bank Swasta</t>
  </si>
  <si>
    <t>Bank Yang Berkedudukan Di Luar Negeri</t>
  </si>
  <si>
    <t xml:space="preserve">Pertanian, perburuan dan Kehutanan </t>
  </si>
  <si>
    <t>Perikanan</t>
  </si>
  <si>
    <t>Pertambangan dan Penggalian</t>
  </si>
  <si>
    <t xml:space="preserve">Industri Pengolahan </t>
  </si>
  <si>
    <t xml:space="preserve">Listrik, gas dan air </t>
  </si>
  <si>
    <t xml:space="preserve">Konstruksi </t>
  </si>
  <si>
    <t>Perdagangan Besar dan Eceran</t>
  </si>
  <si>
    <t>Penyediaan akomodasi dan penyediaan makan minum</t>
  </si>
  <si>
    <t xml:space="preserve">Transportasi, pergudangan dan komunikasi </t>
  </si>
  <si>
    <t xml:space="preserve">Perantara Keuangan </t>
  </si>
  <si>
    <t>Real Estate, Usaha Persewaan, dan Jasa Perusahaan</t>
  </si>
  <si>
    <t>Admistrasi Pemerintahan, Pertahanan dan Jaminan Sosial Wajib</t>
  </si>
  <si>
    <t>Jasa Pendidikan</t>
  </si>
  <si>
    <t xml:space="preserve">Jasa Kesehatan dan Kegiatan Sosial </t>
  </si>
  <si>
    <t>Jasa Kemasyarakatan, Sosial Budaya, Hiburan dan Perorangan lainnya</t>
  </si>
  <si>
    <t>Jasa Perorangan yang Melayani Rumah Tangga</t>
  </si>
  <si>
    <t>Badan Internasional dan Badan Ekstra Internasional Lainnya</t>
  </si>
  <si>
    <t>Kegiatan yang belum jelas batasannya</t>
  </si>
  <si>
    <t>Rumah Tangga -  Untuk Pemilikan Rumah Tinggal</t>
  </si>
  <si>
    <t>Rumah Tangga -  Untuk Pemilikan Flat atau Apartemen</t>
  </si>
  <si>
    <t>Rumah Tangga -   Untuk Pemilikan Ruko atau Rukan</t>
  </si>
  <si>
    <t>Rumah Tangga - Untuk Pemilikan Kendaraan Bermotor</t>
  </si>
  <si>
    <t>Rumah Tangga - Untuk Pemilikan Peralatan Rumah Tangga Lainnya</t>
  </si>
  <si>
    <t>Bukan Lapangan Usaha Lainnya</t>
  </si>
  <si>
    <t>Sektor</t>
  </si>
  <si>
    <t>NPL Acuan</t>
  </si>
  <si>
    <t>Total Pembiayaan</t>
  </si>
  <si>
    <t>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</si>
</sst>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_);_(* \(#,##0\);_(* &quot;-&quot;??_);_(@_)"/>
    <numFmt numFmtId="166" formatCode="_-* #,##0_-;\-* #,##0_-;_-* &quot;-&quot;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Opti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3" fillId="0" borderId="1" xfId="2" applyNumberFormat="1" applyFont="1" applyBorder="1" applyAlignment="1">
      <alignment horizontal="center" vertical="center"/>
    </xf>
    <xf numFmtId="2" fontId="3" fillId="0" borderId="1" xfId="2" applyNumberFormat="1" applyFont="1" applyBorder="1" applyAlignment="1">
      <alignment horizontal="center" vertical="center"/>
    </xf>
    <xf numFmtId="2" fontId="7" fillId="4" borderId="1" xfId="2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0" fontId="3" fillId="4" borderId="0" xfId="0" applyNumberFormat="1" applyFont="1" applyFill="1" applyAlignment="1">
      <alignment horizontal="center" vertical="center"/>
    </xf>
    <xf numFmtId="10" fontId="3" fillId="4" borderId="1" xfId="2" applyNumberFormat="1" applyFont="1" applyFill="1" applyBorder="1" applyAlignment="1">
      <alignment horizontal="center" vertical="center"/>
    </xf>
    <xf numFmtId="10" fontId="3" fillId="4" borderId="1" xfId="2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0" fontId="3" fillId="0" borderId="1" xfId="2" applyNumberFormat="1" applyFont="1" applyFill="1" applyBorder="1" applyAlignment="1">
      <alignment horizontal="center"/>
    </xf>
    <xf numFmtId="2" fontId="3" fillId="0" borderId="1" xfId="2" applyNumberFormat="1" applyFont="1" applyFill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0" xfId="0" applyFont="1"/>
    <xf numFmtId="0" fontId="6" fillId="0" borderId="1" xfId="0" applyFont="1" applyBorder="1"/>
    <xf numFmtId="10" fontId="7" fillId="0" borderId="1" xfId="2" applyNumberFormat="1" applyFont="1" applyBorder="1" applyAlignment="1">
      <alignment horizontal="center" vertical="center"/>
    </xf>
    <xf numFmtId="2" fontId="7" fillId="0" borderId="1" xfId="2" applyNumberFormat="1" applyFont="1" applyBorder="1" applyAlignment="1">
      <alignment horizontal="center" vertical="center"/>
    </xf>
    <xf numFmtId="2" fontId="3" fillId="4" borderId="1" xfId="2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165" fontId="3" fillId="2" borderId="1" xfId="1" applyNumberFormat="1" applyFont="1" applyFill="1" applyBorder="1" applyAlignment="1">
      <alignment horizontal="center" vertical="center"/>
    </xf>
    <xf numFmtId="165" fontId="3" fillId="4" borderId="1" xfId="1" applyNumberFormat="1" applyFont="1" applyFill="1" applyBorder="1" applyAlignment="1">
      <alignment horizontal="center" vertical="center"/>
    </xf>
    <xf numFmtId="165" fontId="7" fillId="0" borderId="1" xfId="1" applyNumberFormat="1" applyFont="1" applyFill="1" applyBorder="1" applyAlignment="1">
      <alignment horizontal="center"/>
    </xf>
    <xf numFmtId="165" fontId="3" fillId="0" borderId="1" xfId="1" applyNumberFormat="1" applyFont="1" applyFill="1" applyBorder="1" applyAlignment="1">
      <alignment horizontal="center"/>
    </xf>
    <xf numFmtId="165" fontId="3" fillId="4" borderId="1" xfId="1" applyNumberFormat="1" applyFont="1" applyFill="1" applyBorder="1" applyAlignment="1">
      <alignment horizontal="center"/>
    </xf>
    <xf numFmtId="2" fontId="3" fillId="4" borderId="1" xfId="2" applyNumberFormat="1" applyFont="1" applyFill="1" applyBorder="1" applyAlignment="1">
      <alignment horizontal="center"/>
    </xf>
    <xf numFmtId="165" fontId="3" fillId="0" borderId="1" xfId="2" applyNumberFormat="1" applyFont="1" applyFill="1" applyBorder="1" applyAlignment="1">
      <alignment horizontal="center" vertical="center"/>
    </xf>
    <xf numFmtId="165" fontId="3" fillId="4" borderId="1" xfId="2" applyNumberFormat="1" applyFont="1" applyFill="1" applyBorder="1" applyAlignment="1">
      <alignment horizontal="center" vertical="center"/>
    </xf>
    <xf numFmtId="0" fontId="5" fillId="3" borderId="2" xfId="3" applyFont="1" applyFill="1" applyBorder="1" applyAlignment="1">
      <alignment horizontal="center" vertical="center"/>
    </xf>
    <xf numFmtId="0" fontId="5" fillId="3" borderId="3" xfId="3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8">
    <cellStyle name="Comma" xfId="1" builtinId="3"/>
    <cellStyle name="Comma [0] 2 2" xfId="7" xr:uid="{2FA565EF-0216-4BCD-8A57-56ED516D537C}"/>
    <cellStyle name="Normal" xfId="0" builtinId="0"/>
    <cellStyle name="Normal 2 3" xfId="4" xr:uid="{B872C6D1-2A1D-495A-944F-58214C4FEFC2}"/>
    <cellStyle name="Normal 4" xfId="3" xr:uid="{020B4303-9C25-4C89-A2EF-C7C350F075D4}"/>
    <cellStyle name="Percent" xfId="2" builtinId="5"/>
    <cellStyle name="Percent 2 2" xfId="5" xr:uid="{2B99FB88-F152-46A4-A694-3B86142AFF5E}"/>
    <cellStyle name="Percent 3" xfId="6" xr:uid="{78008BAC-E616-4F83-951A-B455210AC4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zoomScaleNormal="100" workbookViewId="0">
      <selection activeCell="A3" sqref="A3"/>
    </sheetView>
  </sheetViews>
  <sheetFormatPr defaultRowHeight="14.5"/>
  <cols>
    <col min="1" max="1" width="18.6328125" style="2" bestFit="1" customWidth="1"/>
    <col min="2" max="2" width="11.81640625" style="6" customWidth="1"/>
    <col min="3" max="3" width="11.1796875" style="4" bestFit="1" customWidth="1"/>
    <col min="4" max="4" width="15.81640625" style="4" bestFit="1" customWidth="1"/>
    <col min="5" max="16384" width="8.7265625" style="2"/>
  </cols>
  <sheetData>
    <row r="1" spans="1:4" ht="14.5" customHeight="1">
      <c r="A1" s="32" t="s">
        <v>68</v>
      </c>
      <c r="B1" s="34" t="s">
        <v>67</v>
      </c>
      <c r="C1" s="37" t="s">
        <v>0</v>
      </c>
      <c r="D1" s="36" t="s">
        <v>1</v>
      </c>
    </row>
    <row r="2" spans="1:4" ht="29" customHeight="1">
      <c r="A2" s="33"/>
      <c r="B2" s="35"/>
      <c r="C2" s="37"/>
      <c r="D2" s="36"/>
    </row>
    <row r="3" spans="1:4">
      <c r="A3" s="3" t="s">
        <v>2</v>
      </c>
      <c r="B3" s="24">
        <v>1253495.319553355</v>
      </c>
      <c r="C3" s="7">
        <v>4.3674678768756053E-2</v>
      </c>
      <c r="D3" s="8">
        <f>C3/C$5*D$5</f>
        <v>2.1549299243539037</v>
      </c>
    </row>
    <row r="4" spans="1:4">
      <c r="A4" s="3" t="s">
        <v>3</v>
      </c>
      <c r="B4" s="24">
        <v>411794.28428264498</v>
      </c>
      <c r="C4" s="7">
        <v>2.177178625077349E-2</v>
      </c>
      <c r="D4" s="8">
        <f>C4/C$5*D$5</f>
        <v>1.0742305386340216</v>
      </c>
    </row>
    <row r="5" spans="1:4">
      <c r="A5" s="17" t="s">
        <v>4</v>
      </c>
      <c r="B5" s="25">
        <v>12381763.24855205</v>
      </c>
      <c r="C5" s="12">
        <v>2.0267331329509797E-2</v>
      </c>
      <c r="D5" s="22">
        <v>1</v>
      </c>
    </row>
    <row r="6" spans="1:4">
      <c r="A6" s="3" t="s">
        <v>5</v>
      </c>
      <c r="B6" s="24">
        <v>139945.681856426</v>
      </c>
      <c r="C6" s="7">
        <v>3.1527062299960537E-2</v>
      </c>
      <c r="D6" s="8">
        <f t="shared" ref="D6:D36" si="0">C6/C$5*D$5</f>
        <v>1.555560610688604</v>
      </c>
    </row>
    <row r="7" spans="1:4">
      <c r="A7" s="3" t="s">
        <v>6</v>
      </c>
      <c r="B7" s="24">
        <v>1125924.997735288</v>
      </c>
      <c r="C7" s="7">
        <v>4.6359289686933348E-2</v>
      </c>
      <c r="D7" s="8">
        <f t="shared" si="0"/>
        <v>2.2873899347287492</v>
      </c>
    </row>
    <row r="8" spans="1:4">
      <c r="A8" s="3" t="s">
        <v>7</v>
      </c>
      <c r="B8" s="24">
        <v>1783096.3403437841</v>
      </c>
      <c r="C8" s="7">
        <v>3.6259629136014326E-2</v>
      </c>
      <c r="D8" s="8">
        <f t="shared" si="0"/>
        <v>1.7890677636092769</v>
      </c>
    </row>
    <row r="9" spans="1:4">
      <c r="A9" s="3" t="s">
        <v>8</v>
      </c>
      <c r="B9" s="24">
        <v>51725.310010159999</v>
      </c>
      <c r="C9" s="7">
        <v>2.7006985994508473E-2</v>
      </c>
      <c r="D9" s="8">
        <f t="shared" si="0"/>
        <v>1.3325378440517992</v>
      </c>
    </row>
    <row r="10" spans="1:4">
      <c r="A10" s="3" t="s">
        <v>9</v>
      </c>
      <c r="B10" s="24">
        <v>117707.20771492099</v>
      </c>
      <c r="C10" s="7">
        <v>2.8248346759817893E-2</v>
      </c>
      <c r="D10" s="8">
        <f t="shared" si="0"/>
        <v>1.3937871888780697</v>
      </c>
    </row>
    <row r="11" spans="1:4">
      <c r="A11" s="3" t="s">
        <v>10</v>
      </c>
      <c r="B11" s="24">
        <v>69546.010234084999</v>
      </c>
      <c r="C11" s="7">
        <v>3.1419512925689966E-2</v>
      </c>
      <c r="D11" s="8">
        <f t="shared" si="0"/>
        <v>1.5502540721748739</v>
      </c>
    </row>
    <row r="12" spans="1:4">
      <c r="A12" s="3" t="s">
        <v>11</v>
      </c>
      <c r="B12" s="24">
        <v>852236.01732648001</v>
      </c>
      <c r="C12" s="7">
        <v>2.5303596924438457E-2</v>
      </c>
      <c r="D12" s="8">
        <f t="shared" si="0"/>
        <v>1.2484917976149981</v>
      </c>
    </row>
    <row r="13" spans="1:4">
      <c r="A13" s="3" t="s">
        <v>12</v>
      </c>
      <c r="B13" s="24">
        <v>154632.99831396301</v>
      </c>
      <c r="C13" s="7">
        <v>3.2367587014239842E-2</v>
      </c>
      <c r="D13" s="8">
        <f t="shared" si="0"/>
        <v>1.5970325095101068</v>
      </c>
    </row>
    <row r="14" spans="1:4">
      <c r="A14" s="3" t="s">
        <v>13</v>
      </c>
      <c r="B14" s="24">
        <v>226116.53319088899</v>
      </c>
      <c r="C14" s="7">
        <v>2.9927775623868762E-2</v>
      </c>
      <c r="D14" s="8">
        <f t="shared" si="0"/>
        <v>1.4766510270788877</v>
      </c>
    </row>
    <row r="15" spans="1:4">
      <c r="A15" s="3" t="s">
        <v>14</v>
      </c>
      <c r="B15" s="24">
        <v>260828.04754542402</v>
      </c>
      <c r="C15" s="7">
        <v>4.5114544775897672E-2</v>
      </c>
      <c r="D15" s="8">
        <f t="shared" si="0"/>
        <v>2.2259736145039302</v>
      </c>
    </row>
    <row r="16" spans="1:4">
      <c r="A16" s="3" t="s">
        <v>15</v>
      </c>
      <c r="B16" s="24">
        <v>36795.829347710001</v>
      </c>
      <c r="C16" s="7">
        <v>4.07521327061846E-2</v>
      </c>
      <c r="D16" s="8">
        <f t="shared" si="0"/>
        <v>2.0107300780566191</v>
      </c>
    </row>
    <row r="17" spans="1:4">
      <c r="A17" s="3" t="s">
        <v>16</v>
      </c>
      <c r="B17" s="24">
        <v>120172.853079133</v>
      </c>
      <c r="C17" s="7">
        <v>4.9366668406029005E-2</v>
      </c>
      <c r="D17" s="8">
        <f t="shared" si="0"/>
        <v>2.4357754656208619</v>
      </c>
    </row>
    <row r="18" spans="1:4">
      <c r="A18" s="3" t="s">
        <v>17</v>
      </c>
      <c r="B18" s="24">
        <v>187405.40430356999</v>
      </c>
      <c r="C18" s="7">
        <v>3.1249048321241188E-2</v>
      </c>
      <c r="D18" s="8">
        <f t="shared" si="0"/>
        <v>1.5418432655581895</v>
      </c>
    </row>
    <row r="19" spans="1:4">
      <c r="A19" s="3" t="s">
        <v>18</v>
      </c>
      <c r="B19" s="24">
        <v>168324.965679805</v>
      </c>
      <c r="C19" s="7">
        <v>2.8432075623825222E-2</v>
      </c>
      <c r="D19" s="8">
        <f t="shared" si="0"/>
        <v>1.4028524605223842</v>
      </c>
    </row>
    <row r="20" spans="1:4">
      <c r="A20" s="3" t="s">
        <v>19</v>
      </c>
      <c r="B20" s="24">
        <v>170860.95591629198</v>
      </c>
      <c r="C20" s="7">
        <v>2.3283061762817123E-2</v>
      </c>
      <c r="D20" s="8">
        <f t="shared" si="0"/>
        <v>1.14879760853943</v>
      </c>
    </row>
    <row r="21" spans="1:4">
      <c r="A21" s="3" t="s">
        <v>20</v>
      </c>
      <c r="B21" s="24">
        <v>265852.25194743602</v>
      </c>
      <c r="C21" s="7">
        <v>4.4878151145272133E-2</v>
      </c>
      <c r="D21" s="8">
        <f t="shared" si="0"/>
        <v>2.214309837621705</v>
      </c>
    </row>
    <row r="22" spans="1:4">
      <c r="A22" s="3" t="s">
        <v>21</v>
      </c>
      <c r="B22" s="24">
        <v>102293.268030529</v>
      </c>
      <c r="C22" s="7">
        <v>1.4886916744956446E-2</v>
      </c>
      <c r="D22" s="8">
        <f t="shared" si="0"/>
        <v>0.7345277236022032</v>
      </c>
    </row>
    <row r="23" spans="1:4">
      <c r="A23" s="3" t="s">
        <v>22</v>
      </c>
      <c r="B23" s="24">
        <v>89964.790375582001</v>
      </c>
      <c r="C23" s="7">
        <v>2.8120255179593465E-2</v>
      </c>
      <c r="D23" s="8">
        <f t="shared" si="0"/>
        <v>1.3874670879164832</v>
      </c>
    </row>
    <row r="24" spans="1:4">
      <c r="A24" s="3" t="s">
        <v>23</v>
      </c>
      <c r="B24" s="24">
        <v>373476.79264014703</v>
      </c>
      <c r="C24" s="7">
        <v>4.4108432566600062E-2</v>
      </c>
      <c r="D24" s="8">
        <f t="shared" si="0"/>
        <v>2.1763315480206789</v>
      </c>
    </row>
    <row r="25" spans="1:4">
      <c r="A25" s="3" t="s">
        <v>24</v>
      </c>
      <c r="B25" s="24">
        <v>85965.291306828003</v>
      </c>
      <c r="C25" s="7">
        <v>3.8280623122574346E-2</v>
      </c>
      <c r="D25" s="8">
        <f t="shared" si="0"/>
        <v>1.888784591330813</v>
      </c>
    </row>
    <row r="26" spans="1:4">
      <c r="A26" s="3" t="s">
        <v>25</v>
      </c>
      <c r="B26" s="24">
        <v>30653.193221230002</v>
      </c>
      <c r="C26" s="7">
        <v>7.7762258895595487E-2</v>
      </c>
      <c r="D26" s="8">
        <f t="shared" si="0"/>
        <v>3.8368277318470381</v>
      </c>
    </row>
    <row r="27" spans="1:4">
      <c r="A27" s="3" t="s">
        <v>26</v>
      </c>
      <c r="B27" s="24">
        <v>21044.283923993</v>
      </c>
      <c r="C27" s="7">
        <v>3.3894660814510556E-2</v>
      </c>
      <c r="D27" s="8">
        <f t="shared" si="0"/>
        <v>1.672379074651974</v>
      </c>
    </row>
    <row r="28" spans="1:4">
      <c r="A28" s="3" t="s">
        <v>27</v>
      </c>
      <c r="B28" s="24">
        <v>55976.173399731997</v>
      </c>
      <c r="C28" s="7">
        <v>3.7819575245780127E-2</v>
      </c>
      <c r="D28" s="8">
        <f t="shared" si="0"/>
        <v>1.866036264513709</v>
      </c>
    </row>
    <row r="29" spans="1:4">
      <c r="A29" s="3" t="s">
        <v>28</v>
      </c>
      <c r="B29" s="24">
        <v>134084.594882078</v>
      </c>
      <c r="C29" s="7">
        <v>1.5727375552356357E-2</v>
      </c>
      <c r="D29" s="8">
        <f t="shared" si="0"/>
        <v>0.77599637054617354</v>
      </c>
    </row>
    <row r="30" spans="1:4">
      <c r="A30" s="3" t="s">
        <v>29</v>
      </c>
      <c r="B30" s="24">
        <v>259546.12263107399</v>
      </c>
      <c r="C30" s="7">
        <v>2.808803601257957E-2</v>
      </c>
      <c r="D30" s="8">
        <f t="shared" si="0"/>
        <v>1.3858773785220855</v>
      </c>
    </row>
    <row r="31" spans="1:4">
      <c r="A31" s="3" t="s">
        <v>30</v>
      </c>
      <c r="B31" s="24">
        <v>72876.160779002996</v>
      </c>
      <c r="C31" s="7">
        <v>3.7700587067226503E-2</v>
      </c>
      <c r="D31" s="8">
        <f t="shared" si="0"/>
        <v>1.8601653298248202</v>
      </c>
    </row>
    <row r="32" spans="1:4">
      <c r="A32" s="3" t="s">
        <v>31</v>
      </c>
      <c r="B32" s="24">
        <v>26055.964123407</v>
      </c>
      <c r="C32" s="7">
        <v>3.1765862283654918E-2</v>
      </c>
      <c r="D32" s="8">
        <f t="shared" si="0"/>
        <v>1.5673431182033788</v>
      </c>
    </row>
    <row r="33" spans="1:4">
      <c r="A33" s="3" t="s">
        <v>32</v>
      </c>
      <c r="B33" s="24">
        <v>78356.288594810001</v>
      </c>
      <c r="C33" s="7">
        <v>4.5666762480133731E-2</v>
      </c>
      <c r="D33" s="8">
        <f t="shared" si="0"/>
        <v>2.2532203050157698</v>
      </c>
    </row>
    <row r="34" spans="1:4">
      <c r="A34" s="3" t="s">
        <v>33</v>
      </c>
      <c r="B34" s="24">
        <v>18851.053148436004</v>
      </c>
      <c r="C34" s="7">
        <v>3.0505849988954656E-2</v>
      </c>
      <c r="D34" s="8">
        <f t="shared" si="0"/>
        <v>1.5051734978318181</v>
      </c>
    </row>
    <row r="35" spans="1:4">
      <c r="A35" s="3" t="s">
        <v>34</v>
      </c>
      <c r="B35" s="24">
        <v>29270.931335327998</v>
      </c>
      <c r="C35" s="7">
        <v>3.8166272818680763E-2</v>
      </c>
      <c r="D35" s="8">
        <f t="shared" si="0"/>
        <v>1.8831424916367558</v>
      </c>
    </row>
    <row r="36" spans="1:4">
      <c r="A36" s="3" t="s">
        <v>35</v>
      </c>
      <c r="B36" s="24">
        <v>545259.40966130001</v>
      </c>
      <c r="C36" s="7">
        <v>3.693740077516626E-3</v>
      </c>
      <c r="D36" s="8">
        <f t="shared" si="0"/>
        <v>0.18225093464270936</v>
      </c>
    </row>
    <row r="38" spans="1:4">
      <c r="C38" s="23" t="s">
        <v>66</v>
      </c>
      <c r="D38" s="11">
        <f>+C5</f>
        <v>2.0267331329509797E-2</v>
      </c>
    </row>
  </sheetData>
  <mergeCells count="4">
    <mergeCell ref="A1:A2"/>
    <mergeCell ref="B1:B2"/>
    <mergeCell ref="D1:D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3F0A-B99D-407F-ACF7-2B833BEEB8A1}">
  <dimension ref="A1:D38"/>
  <sheetViews>
    <sheetView zoomScaleNormal="100" workbookViewId="0">
      <selection activeCell="A3" sqref="A3"/>
    </sheetView>
  </sheetViews>
  <sheetFormatPr defaultRowHeight="14.5"/>
  <cols>
    <col min="1" max="1" width="18.6328125" style="2" bestFit="1" customWidth="1"/>
    <col min="2" max="2" width="11.81640625" style="5" customWidth="1"/>
    <col min="3" max="4" width="9.36328125" style="2" customWidth="1"/>
    <col min="5" max="16384" width="8.7265625" style="2"/>
  </cols>
  <sheetData>
    <row r="1" spans="1:4">
      <c r="A1" s="32" t="s">
        <v>68</v>
      </c>
      <c r="B1" s="39" t="s">
        <v>0</v>
      </c>
      <c r="C1" s="38" t="s">
        <v>0</v>
      </c>
      <c r="D1" s="36" t="s">
        <v>1</v>
      </c>
    </row>
    <row r="2" spans="1:4" ht="29" customHeight="1">
      <c r="A2" s="33"/>
      <c r="B2" s="39"/>
      <c r="C2" s="38"/>
      <c r="D2" s="36"/>
    </row>
    <row r="3" spans="1:4">
      <c r="A3" s="3" t="s">
        <v>2</v>
      </c>
      <c r="B3" s="24">
        <v>1206610.2380694968</v>
      </c>
      <c r="C3" s="7">
        <v>1.713575971781214E-2</v>
      </c>
      <c r="D3" s="8">
        <f>C3/C$5*D$5</f>
        <v>0.84820820965693233</v>
      </c>
    </row>
    <row r="4" spans="1:4">
      <c r="A4" s="3" t="s">
        <v>3</v>
      </c>
      <c r="B4" s="24">
        <v>405104.01304525405</v>
      </c>
      <c r="C4" s="7">
        <v>1.3950766923789205E-2</v>
      </c>
      <c r="D4" s="8">
        <f t="shared" ref="D4:D36" si="0">C4/C$5*D$5</f>
        <v>0.69055327751054763</v>
      </c>
    </row>
    <row r="5" spans="1:4">
      <c r="A5" s="17" t="s">
        <v>4</v>
      </c>
      <c r="B5" s="25">
        <v>2460881.6312938267</v>
      </c>
      <c r="C5" s="12">
        <v>2.0202303541418089E-2</v>
      </c>
      <c r="D5" s="22">
        <v>1</v>
      </c>
    </row>
    <row r="6" spans="1:4">
      <c r="A6" s="3" t="s">
        <v>5</v>
      </c>
      <c r="B6" s="24">
        <v>73334.659655106996</v>
      </c>
      <c r="C6" s="7">
        <v>1.3503253767920623E-2</v>
      </c>
      <c r="D6" s="8">
        <f t="shared" si="0"/>
        <v>0.66840168697775981</v>
      </c>
    </row>
    <row r="7" spans="1:4">
      <c r="A7" s="3" t="s">
        <v>6</v>
      </c>
      <c r="B7" s="24">
        <v>457083.51650871604</v>
      </c>
      <c r="C7" s="7">
        <v>1.1086695922679083E-2</v>
      </c>
      <c r="D7" s="8">
        <f t="shared" si="0"/>
        <v>0.54878375131576007</v>
      </c>
    </row>
    <row r="8" spans="1:4">
      <c r="A8" s="3" t="s">
        <v>7</v>
      </c>
      <c r="B8" s="24">
        <v>729325.87973044906</v>
      </c>
      <c r="C8" s="7">
        <v>1.6467259828740432E-2</v>
      </c>
      <c r="D8" s="8">
        <f t="shared" si="0"/>
        <v>0.81511792924899906</v>
      </c>
    </row>
    <row r="9" spans="1:4">
      <c r="A9" s="3" t="s">
        <v>8</v>
      </c>
      <c r="B9" s="24">
        <v>61752.405665822997</v>
      </c>
      <c r="C9" s="7">
        <v>9.2350287560801162E-3</v>
      </c>
      <c r="D9" s="8">
        <f t="shared" si="0"/>
        <v>0.45712751207538133</v>
      </c>
    </row>
    <row r="10" spans="1:4">
      <c r="A10" s="3" t="s">
        <v>9</v>
      </c>
      <c r="B10" s="24">
        <v>93650.660699260014</v>
      </c>
      <c r="C10" s="7">
        <v>1.4177836330528862E-2</v>
      </c>
      <c r="D10" s="8">
        <f t="shared" si="0"/>
        <v>0.70179305550290016</v>
      </c>
    </row>
    <row r="11" spans="1:4">
      <c r="A11" s="3" t="s">
        <v>10</v>
      </c>
      <c r="B11" s="24">
        <v>115397.517892595</v>
      </c>
      <c r="C11" s="7">
        <v>5.62998108243271E-3</v>
      </c>
      <c r="D11" s="8">
        <f t="shared" si="0"/>
        <v>0.27868015500758664</v>
      </c>
    </row>
    <row r="12" spans="1:4">
      <c r="A12" s="3" t="s">
        <v>11</v>
      </c>
      <c r="B12" s="24">
        <v>301212.97881488106</v>
      </c>
      <c r="C12" s="7">
        <v>1.8547640254414535E-2</v>
      </c>
      <c r="D12" s="8">
        <f t="shared" si="0"/>
        <v>0.91809531603110417</v>
      </c>
    </row>
    <row r="13" spans="1:4">
      <c r="A13" s="3" t="s">
        <v>12</v>
      </c>
      <c r="B13" s="24">
        <v>131670.521741573</v>
      </c>
      <c r="C13" s="7">
        <v>7.9503893417510359E-3</v>
      </c>
      <c r="D13" s="8">
        <f t="shared" si="0"/>
        <v>0.3935387529175281</v>
      </c>
    </row>
    <row r="14" spans="1:4">
      <c r="A14" s="3" t="s">
        <v>13</v>
      </c>
      <c r="B14" s="24">
        <v>155014.82395835899</v>
      </c>
      <c r="C14" s="7">
        <v>1.7894921847939928E-2</v>
      </c>
      <c r="D14" s="8">
        <f t="shared" si="0"/>
        <v>0.88578620805554953</v>
      </c>
    </row>
    <row r="15" spans="1:4">
      <c r="A15" s="3" t="s">
        <v>14</v>
      </c>
      <c r="B15" s="24">
        <v>187430.954048371</v>
      </c>
      <c r="C15" s="7">
        <v>1.6591114416669252E-2</v>
      </c>
      <c r="D15" s="8">
        <f t="shared" si="0"/>
        <v>0.82124864536634168</v>
      </c>
    </row>
    <row r="16" spans="1:4">
      <c r="A16" s="3" t="s">
        <v>15</v>
      </c>
      <c r="B16" s="24">
        <v>32668.055073527004</v>
      </c>
      <c r="C16" s="7">
        <v>1.0613340280547244E-2</v>
      </c>
      <c r="D16" s="8">
        <f t="shared" si="0"/>
        <v>0.52535297565389649</v>
      </c>
    </row>
    <row r="17" spans="1:4">
      <c r="A17" s="3" t="s">
        <v>16</v>
      </c>
      <c r="B17" s="24">
        <v>88122.666048844985</v>
      </c>
      <c r="C17" s="7">
        <v>1.6556413441421555E-2</v>
      </c>
      <c r="D17" s="8">
        <f t="shared" si="0"/>
        <v>0.81953097118247664</v>
      </c>
    </row>
    <row r="18" spans="1:4">
      <c r="A18" s="3" t="s">
        <v>17</v>
      </c>
      <c r="B18" s="24">
        <v>88167.366392163007</v>
      </c>
      <c r="C18" s="7">
        <v>1.4125769565367256E-2</v>
      </c>
      <c r="D18" s="8">
        <f t="shared" si="0"/>
        <v>0.69921578677436835</v>
      </c>
    </row>
    <row r="19" spans="1:4">
      <c r="A19" s="3" t="s">
        <v>18</v>
      </c>
      <c r="B19" s="24">
        <v>118220.326321377</v>
      </c>
      <c r="C19" s="7">
        <v>1.8908001376069655E-2</v>
      </c>
      <c r="D19" s="8">
        <f t="shared" si="0"/>
        <v>0.9359329413749824</v>
      </c>
    </row>
    <row r="20" spans="1:4">
      <c r="A20" s="3" t="s">
        <v>19</v>
      </c>
      <c r="B20" s="24">
        <v>123532.50237860699</v>
      </c>
      <c r="C20" s="7">
        <v>1.0770705328797887E-2</v>
      </c>
      <c r="D20" s="8">
        <f t="shared" si="0"/>
        <v>0.53314243629277946</v>
      </c>
    </row>
    <row r="21" spans="1:4">
      <c r="A21" s="3" t="s">
        <v>20</v>
      </c>
      <c r="B21" s="24">
        <v>149298.35197319402</v>
      </c>
      <c r="C21" s="7">
        <v>2.5599447415181234E-2</v>
      </c>
      <c r="D21" s="8">
        <f t="shared" si="0"/>
        <v>1.2671548748239576</v>
      </c>
    </row>
    <row r="22" spans="1:4">
      <c r="A22" s="3" t="s">
        <v>21</v>
      </c>
      <c r="B22" s="24">
        <v>73350.837974369992</v>
      </c>
      <c r="C22" s="7">
        <v>9.8802006384879973E-3</v>
      </c>
      <c r="D22" s="8">
        <f t="shared" si="0"/>
        <v>0.48906307234875168</v>
      </c>
    </row>
    <row r="23" spans="1:4">
      <c r="A23" s="3" t="s">
        <v>22</v>
      </c>
      <c r="B23" s="24">
        <v>93870.063891474012</v>
      </c>
      <c r="C23" s="7">
        <v>9.838390981130268E-3</v>
      </c>
      <c r="D23" s="8">
        <f t="shared" si="0"/>
        <v>0.48699352333559026</v>
      </c>
    </row>
    <row r="24" spans="1:4">
      <c r="A24" s="3" t="s">
        <v>23</v>
      </c>
      <c r="B24" s="24">
        <v>289947.64496628603</v>
      </c>
      <c r="C24" s="7">
        <v>1.7142400774042978E-2</v>
      </c>
      <c r="D24" s="8">
        <f t="shared" si="0"/>
        <v>0.84853693732985447</v>
      </c>
    </row>
    <row r="25" spans="1:4">
      <c r="A25" s="3" t="s">
        <v>24</v>
      </c>
      <c r="B25" s="24">
        <v>123120.18065182801</v>
      </c>
      <c r="C25" s="7">
        <v>2.0878754607219083E-2</v>
      </c>
      <c r="D25" s="8">
        <f t="shared" si="0"/>
        <v>1.0334838581359871</v>
      </c>
    </row>
    <row r="26" spans="1:4">
      <c r="A26" s="3" t="s">
        <v>25</v>
      </c>
      <c r="B26" s="24">
        <v>41637.413764651006</v>
      </c>
      <c r="C26" s="7">
        <v>1.2719654074879813E-2</v>
      </c>
      <c r="D26" s="8">
        <f t="shared" si="0"/>
        <v>0.62961404618054584</v>
      </c>
    </row>
    <row r="27" spans="1:4">
      <c r="A27" s="3" t="s">
        <v>26</v>
      </c>
      <c r="B27" s="24">
        <v>25522.411049994</v>
      </c>
      <c r="C27" s="7">
        <v>6.3662336744254493E-3</v>
      </c>
      <c r="D27" s="8">
        <f t="shared" si="0"/>
        <v>0.31512414717329684</v>
      </c>
    </row>
    <row r="28" spans="1:4">
      <c r="A28" s="3" t="s">
        <v>27</v>
      </c>
      <c r="B28" s="24">
        <v>85429.889115985003</v>
      </c>
      <c r="C28" s="7">
        <v>8.9567395352831668E-3</v>
      </c>
      <c r="D28" s="8">
        <f t="shared" si="0"/>
        <v>0.44335238884617084</v>
      </c>
    </row>
    <row r="29" spans="1:4">
      <c r="A29" s="3" t="s">
        <v>28</v>
      </c>
      <c r="B29" s="24">
        <v>113735.682196201</v>
      </c>
      <c r="C29" s="7">
        <v>8.3205123052016976E-3</v>
      </c>
      <c r="D29" s="8">
        <f t="shared" si="0"/>
        <v>0.411859582653199</v>
      </c>
    </row>
    <row r="30" spans="1:4">
      <c r="A30" s="3" t="s">
        <v>29</v>
      </c>
      <c r="B30" s="24">
        <v>153860.77952862799</v>
      </c>
      <c r="C30" s="7">
        <v>1.3997231847615119E-2</v>
      </c>
      <c r="D30" s="8">
        <f t="shared" si="0"/>
        <v>0.69285325898199979</v>
      </c>
    </row>
    <row r="31" spans="1:4">
      <c r="A31" s="3" t="s">
        <v>30</v>
      </c>
      <c r="B31" s="24">
        <v>102128.637156838</v>
      </c>
      <c r="C31" s="7">
        <v>6.4280106248049088E-3</v>
      </c>
      <c r="D31" s="8">
        <f t="shared" si="0"/>
        <v>0.31818206332888799</v>
      </c>
    </row>
    <row r="32" spans="1:4">
      <c r="A32" s="3" t="s">
        <v>31</v>
      </c>
      <c r="B32" s="24">
        <v>39171.794314438004</v>
      </c>
      <c r="C32" s="7">
        <v>9.1891551023315504E-3</v>
      </c>
      <c r="D32" s="8">
        <f t="shared" si="0"/>
        <v>0.45485679806227303</v>
      </c>
    </row>
    <row r="33" spans="1:4">
      <c r="A33" s="3" t="s">
        <v>32</v>
      </c>
      <c r="B33" s="24">
        <v>82707.270693903003</v>
      </c>
      <c r="C33" s="7">
        <v>1.7130390460574636E-2</v>
      </c>
      <c r="D33" s="8">
        <f t="shared" si="0"/>
        <v>0.84794243515124312</v>
      </c>
    </row>
    <row r="34" spans="1:4">
      <c r="A34" s="3" t="s">
        <v>33</v>
      </c>
      <c r="B34" s="24">
        <v>36301.555717768002</v>
      </c>
      <c r="C34" s="7">
        <v>7.8376697541571259E-3</v>
      </c>
      <c r="D34" s="8">
        <f t="shared" si="0"/>
        <v>0.38795921158637164</v>
      </c>
    </row>
    <row r="35" spans="1:4">
      <c r="A35" s="3" t="s">
        <v>34</v>
      </c>
      <c r="B35" s="24">
        <v>40163.533708174</v>
      </c>
      <c r="C35" s="7">
        <v>2.3769047518164763E-2</v>
      </c>
      <c r="D35" s="8">
        <f t="shared" si="0"/>
        <v>1.1765513506632674</v>
      </c>
    </row>
    <row r="36" spans="1:4">
      <c r="A36" s="3" t="s">
        <v>35</v>
      </c>
      <c r="B36" s="24">
        <v>3400.2741948619996</v>
      </c>
      <c r="C36" s="7">
        <v>5.6855676522241791E-3</v>
      </c>
      <c r="D36" s="8">
        <f t="shared" si="0"/>
        <v>0.28143165162169836</v>
      </c>
    </row>
    <row r="38" spans="1:4">
      <c r="C38" s="10" t="s">
        <v>66</v>
      </c>
      <c r="D38" s="11">
        <f>+C5</f>
        <v>2.0202303541418089E-2</v>
      </c>
    </row>
  </sheetData>
  <mergeCells count="4">
    <mergeCell ref="C1:C2"/>
    <mergeCell ref="D1:D2"/>
    <mergeCell ref="A1:A2"/>
    <mergeCell ref="B1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0C5D-6406-4584-99F3-9B1B0A7E5B71}">
  <dimension ref="A1:D6"/>
  <sheetViews>
    <sheetView tabSelected="1" zoomScale="130" zoomScaleNormal="130" workbookViewId="0">
      <selection activeCell="A12" sqref="A12"/>
    </sheetView>
  </sheetViews>
  <sheetFormatPr defaultRowHeight="14.5"/>
  <cols>
    <col min="1" max="1" width="34.54296875" bestFit="1" customWidth="1"/>
    <col min="2" max="2" width="16" bestFit="1" customWidth="1"/>
    <col min="3" max="3" width="11.08984375" style="14" bestFit="1" customWidth="1"/>
    <col min="4" max="4" width="15.6328125" style="14" bestFit="1" customWidth="1"/>
  </cols>
  <sheetData>
    <row r="1" spans="1:4" ht="14.5" customHeight="1">
      <c r="A1" s="32" t="s">
        <v>36</v>
      </c>
      <c r="B1" s="39" t="s">
        <v>67</v>
      </c>
      <c r="C1" s="38" t="s">
        <v>0</v>
      </c>
      <c r="D1" s="36" t="s">
        <v>1</v>
      </c>
    </row>
    <row r="2" spans="1:4">
      <c r="A2" s="33"/>
      <c r="B2" s="39"/>
      <c r="C2" s="38"/>
      <c r="D2" s="36"/>
    </row>
    <row r="3" spans="1:4" s="18" customFormat="1">
      <c r="A3" s="19" t="s">
        <v>37</v>
      </c>
      <c r="B3" s="26">
        <v>13189517.210486937</v>
      </c>
      <c r="C3" s="20">
        <v>2.3246394399555163E-2</v>
      </c>
      <c r="D3" s="21">
        <f>C3/C$5*D$5</f>
        <v>0.95789083750640558</v>
      </c>
    </row>
    <row r="4" spans="1:4">
      <c r="A4" s="1" t="s">
        <v>38</v>
      </c>
      <c r="B4" s="27">
        <v>2493068.3968275809</v>
      </c>
      <c r="C4" s="15">
        <v>2.5721463787695222E-2</v>
      </c>
      <c r="D4" s="16">
        <f>C4/C$5*D$5</f>
        <v>1.0598785371187514</v>
      </c>
    </row>
    <row r="5" spans="1:4">
      <c r="A5" s="19" t="s">
        <v>39</v>
      </c>
      <c r="B5" s="28">
        <v>13269695.777873915</v>
      </c>
      <c r="C5" s="13">
        <v>2.4268312723473264E-2</v>
      </c>
      <c r="D5" s="29">
        <v>1</v>
      </c>
    </row>
    <row r="6" spans="1:4">
      <c r="A6" s="1" t="s">
        <v>40</v>
      </c>
      <c r="B6" s="27">
        <v>1032416.5014164711</v>
      </c>
      <c r="C6" s="15">
        <v>1.5002657240550854E-2</v>
      </c>
      <c r="D6" s="16">
        <f>C6/C$5*D$5</f>
        <v>0.61819943609180938</v>
      </c>
    </row>
  </sheetData>
  <mergeCells count="4">
    <mergeCell ref="C1:C2"/>
    <mergeCell ref="D1:D2"/>
    <mergeCell ref="A1:A2"/>
    <mergeCell ref="B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22B2-00EB-48B1-B87B-EFDEDEE22260}">
  <dimension ref="A1:D26"/>
  <sheetViews>
    <sheetView zoomScale="115" zoomScaleNormal="115" workbookViewId="0">
      <selection activeCell="C13" sqref="C13"/>
    </sheetView>
  </sheetViews>
  <sheetFormatPr defaultRowHeight="14.5"/>
  <cols>
    <col min="1" max="1" width="59.6328125" bestFit="1" customWidth="1"/>
    <col min="2" max="2" width="13.26953125" style="14" customWidth="1"/>
    <col min="3" max="4" width="10.1796875" style="14" customWidth="1"/>
  </cols>
  <sheetData>
    <row r="1" spans="1:4">
      <c r="A1" s="32" t="s">
        <v>65</v>
      </c>
      <c r="B1" s="39" t="s">
        <v>67</v>
      </c>
      <c r="C1" s="39" t="s">
        <v>0</v>
      </c>
      <c r="D1" s="36" t="s">
        <v>1</v>
      </c>
    </row>
    <row r="2" spans="1:4">
      <c r="A2" s="33"/>
      <c r="B2" s="39"/>
      <c r="C2" s="39"/>
      <c r="D2" s="36"/>
    </row>
    <row r="3" spans="1:4">
      <c r="A3" s="3" t="s">
        <v>41</v>
      </c>
      <c r="B3" s="30">
        <v>2043900.2306261319</v>
      </c>
      <c r="C3" s="20">
        <v>1.6465112906142033E-2</v>
      </c>
      <c r="D3" s="21">
        <f>C3/C$9*D$9</f>
        <v>0.46565262578423977</v>
      </c>
    </row>
    <row r="4" spans="1:4">
      <c r="A4" s="3" t="s">
        <v>42</v>
      </c>
      <c r="B4" s="30">
        <v>79053.586865428995</v>
      </c>
      <c r="C4" s="7">
        <v>4.4631483871821073E-2</v>
      </c>
      <c r="D4" s="21">
        <f t="shared" ref="D4:D8" si="0">C4/C$9*D$9</f>
        <v>1.2622304976607703</v>
      </c>
    </row>
    <row r="5" spans="1:4" s="18" customFormat="1">
      <c r="A5" s="17" t="s">
        <v>43</v>
      </c>
      <c r="B5" s="30">
        <v>984154.15429413808</v>
      </c>
      <c r="C5" s="20">
        <v>2.6040485281523792E-2</v>
      </c>
      <c r="D5" s="21">
        <f t="shared" si="0"/>
        <v>0.73645534149444358</v>
      </c>
    </row>
    <row r="6" spans="1:4">
      <c r="A6" s="3" t="s">
        <v>44</v>
      </c>
      <c r="B6" s="30">
        <v>4900805.5338745425</v>
      </c>
      <c r="C6" s="7">
        <v>3.1402137253061957E-2</v>
      </c>
      <c r="D6" s="21">
        <f t="shared" si="0"/>
        <v>0.88808912216269842</v>
      </c>
    </row>
    <row r="7" spans="1:4">
      <c r="A7" s="3" t="s">
        <v>45</v>
      </c>
      <c r="B7" s="30">
        <v>887467.57570988324</v>
      </c>
      <c r="C7" s="7">
        <v>7.3909155105901349E-3</v>
      </c>
      <c r="D7" s="21">
        <f t="shared" si="0"/>
        <v>0.20902372392307925</v>
      </c>
    </row>
    <row r="8" spans="1:4">
      <c r="A8" s="3" t="s">
        <v>46</v>
      </c>
      <c r="B8" s="30">
        <v>1722460.019360224</v>
      </c>
      <c r="C8" s="7">
        <v>3.5548794961749106E-2</v>
      </c>
      <c r="D8" s="21">
        <f t="shared" si="0"/>
        <v>1.0053614458500957</v>
      </c>
    </row>
    <row r="9" spans="1:4">
      <c r="A9" s="3" t="s">
        <v>47</v>
      </c>
      <c r="B9" s="31">
        <v>5173396.5630447529</v>
      </c>
      <c r="C9" s="12">
        <v>3.5359218426851836E-2</v>
      </c>
      <c r="D9" s="9">
        <v>1</v>
      </c>
    </row>
    <row r="10" spans="1:4">
      <c r="A10" s="3" t="s">
        <v>48</v>
      </c>
      <c r="B10" s="30">
        <v>568155.69341117889</v>
      </c>
      <c r="C10" s="7">
        <v>4.2304219822458765E-2</v>
      </c>
      <c r="D10" s="21">
        <f t="shared" ref="D10:D26" si="1">C10/C$9*D$9</f>
        <v>1.1964127518817804</v>
      </c>
    </row>
    <row r="11" spans="1:4">
      <c r="A11" s="3" t="s">
        <v>49</v>
      </c>
      <c r="B11" s="30">
        <v>1407742.337984863</v>
      </c>
      <c r="C11" s="7">
        <v>1.7447777270563351E-2</v>
      </c>
      <c r="D11" s="21">
        <f t="shared" si="1"/>
        <v>0.49344352185435991</v>
      </c>
    </row>
    <row r="12" spans="1:4">
      <c r="A12" s="3" t="s">
        <v>50</v>
      </c>
      <c r="B12" s="30">
        <v>1488641.5541008972</v>
      </c>
      <c r="C12" s="7">
        <v>6.2641505097250317E-3</v>
      </c>
      <c r="D12" s="21">
        <f t="shared" si="1"/>
        <v>0.17715749353124921</v>
      </c>
    </row>
    <row r="13" spans="1:4">
      <c r="A13" s="3" t="s">
        <v>51</v>
      </c>
      <c r="B13" s="30">
        <v>1449834.580234868</v>
      </c>
      <c r="C13" s="7">
        <v>2.1007330906954263E-2</v>
      </c>
      <c r="D13" s="21">
        <f t="shared" si="1"/>
        <v>0.59411185658451282</v>
      </c>
    </row>
    <row r="14" spans="1:4">
      <c r="A14" s="3" t="s">
        <v>52</v>
      </c>
      <c r="B14" s="30">
        <v>207366.14211123303</v>
      </c>
      <c r="C14" s="7">
        <v>9.0620359469869598E-5</v>
      </c>
      <c r="D14" s="21">
        <f t="shared" si="1"/>
        <v>2.5628496189002972E-3</v>
      </c>
    </row>
    <row r="15" spans="1:4">
      <c r="A15" s="3" t="s">
        <v>53</v>
      </c>
      <c r="B15" s="30">
        <v>70615.793660785013</v>
      </c>
      <c r="C15" s="7">
        <v>1.1509039693075445E-2</v>
      </c>
      <c r="D15" s="21">
        <f t="shared" si="1"/>
        <v>0.32548908615964955</v>
      </c>
    </row>
    <row r="16" spans="1:4">
      <c r="A16" s="3" t="s">
        <v>54</v>
      </c>
      <c r="B16" s="30">
        <v>150759.99178923399</v>
      </c>
      <c r="C16" s="7">
        <v>1.272085616985257E-2</v>
      </c>
      <c r="D16" s="21">
        <f t="shared" si="1"/>
        <v>0.35976067163838482</v>
      </c>
    </row>
    <row r="17" spans="1:4">
      <c r="A17" s="3" t="s">
        <v>55</v>
      </c>
      <c r="B17" s="30">
        <v>542884.73275474191</v>
      </c>
      <c r="C17" s="7">
        <v>2.1425414085434885E-2</v>
      </c>
      <c r="D17" s="21">
        <f t="shared" si="1"/>
        <v>0.60593573723237049</v>
      </c>
    </row>
    <row r="18" spans="1:4">
      <c r="A18" s="3" t="s">
        <v>56</v>
      </c>
      <c r="B18" s="30">
        <v>16767.984088463003</v>
      </c>
      <c r="C18" s="7">
        <v>2.5435416040527393E-2</v>
      </c>
      <c r="D18" s="21">
        <f t="shared" si="1"/>
        <v>0.71934327658135411</v>
      </c>
    </row>
    <row r="19" spans="1:4">
      <c r="A19" s="3" t="s">
        <v>57</v>
      </c>
      <c r="B19" s="30">
        <v>643.02449946499996</v>
      </c>
      <c r="C19" s="7">
        <v>2.2232457766219432E-2</v>
      </c>
      <c r="D19" s="21">
        <f t="shared" si="1"/>
        <v>0.62875987522778709</v>
      </c>
    </row>
    <row r="20" spans="1:4">
      <c r="A20" s="3" t="s">
        <v>58</v>
      </c>
      <c r="B20" s="30">
        <v>6984.8545832969994</v>
      </c>
      <c r="C20" s="7">
        <v>8.1423230479273273E-2</v>
      </c>
      <c r="D20" s="21">
        <f t="shared" si="1"/>
        <v>2.3027440679356297</v>
      </c>
    </row>
    <row r="21" spans="1:4">
      <c r="A21" s="3" t="s">
        <v>59</v>
      </c>
      <c r="B21" s="30">
        <v>2615705.5477460423</v>
      </c>
      <c r="C21" s="7">
        <v>2.3933501668044057E-2</v>
      </c>
      <c r="D21" s="21">
        <f t="shared" si="1"/>
        <v>0.6768673837504543</v>
      </c>
    </row>
    <row r="22" spans="1:4">
      <c r="A22" s="3" t="s">
        <v>60</v>
      </c>
      <c r="B22" s="30">
        <v>116843.895034164</v>
      </c>
      <c r="C22" s="7">
        <v>2.1639201423409568E-2</v>
      </c>
      <c r="D22" s="21">
        <f t="shared" si="1"/>
        <v>0.61198189287398763</v>
      </c>
    </row>
    <row r="23" spans="1:4">
      <c r="A23" s="3" t="s">
        <v>61</v>
      </c>
      <c r="B23" s="30">
        <v>169594.76326636702</v>
      </c>
      <c r="C23" s="7">
        <v>4.3689437534109331E-2</v>
      </c>
      <c r="D23" s="21">
        <f t="shared" si="1"/>
        <v>1.2355883268316676</v>
      </c>
    </row>
    <row r="24" spans="1:4">
      <c r="A24" s="3" t="s">
        <v>62</v>
      </c>
      <c r="B24" s="30">
        <v>671597.24270870304</v>
      </c>
      <c r="C24" s="7">
        <v>1.6123928855111234E-2</v>
      </c>
      <c r="D24" s="21">
        <f t="shared" si="1"/>
        <v>0.45600354228606765</v>
      </c>
    </row>
    <row r="25" spans="1:4">
      <c r="A25" s="3" t="s">
        <v>63</v>
      </c>
      <c r="B25" s="30">
        <v>3456260.5107350284</v>
      </c>
      <c r="C25" s="7">
        <v>1.1323134442587538E-2</v>
      </c>
      <c r="D25" s="21">
        <f t="shared" si="1"/>
        <v>0.32023146852105577</v>
      </c>
    </row>
    <row r="26" spans="1:4">
      <c r="A26" s="3" t="s">
        <v>64</v>
      </c>
      <c r="B26" s="30">
        <v>1253089.3007392841</v>
      </c>
      <c r="C26" s="7">
        <v>1.1618737432748369E-2</v>
      </c>
      <c r="D26" s="21">
        <f t="shared" si="1"/>
        <v>0.32859146637486436</v>
      </c>
    </row>
  </sheetData>
  <mergeCells count="4">
    <mergeCell ref="C1:C2"/>
    <mergeCell ref="D1:D2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NPL Produktif per Provinsi</vt:lpstr>
      <vt:lpstr>NPL Konsumtif per Provinsi</vt:lpstr>
      <vt:lpstr>NPL Jenis Bank</vt:lpstr>
      <vt:lpstr>NPL Sektor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Husam Al Faruqi</dc:creator>
  <cp:lastModifiedBy>Husam Al Faruqi</cp:lastModifiedBy>
  <dcterms:created xsi:type="dcterms:W3CDTF">2015-06-05T18:17:20Z</dcterms:created>
  <dcterms:modified xsi:type="dcterms:W3CDTF">2026-01-19T10:35:25Z</dcterms:modified>
</cp:coreProperties>
</file>