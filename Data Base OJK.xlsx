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2096\Downloads\"/>
    </mc:Choice>
  </mc:AlternateContent>
  <xr:revisionPtr revIDLastSave="0" documentId="13_ncr:1_{50C6753F-B7CF-430F-8992-C19E5E3D2993}" xr6:coauthVersionLast="47" xr6:coauthVersionMax="47" xr10:uidLastSave="{00000000-0000-0000-0000-000000000000}"/>
  <bookViews>
    <workbookView xWindow="-110" yWindow="-110" windowWidth="25820" windowHeight="15620" activeTab="3" xr2:uid="{00000000-000D-0000-FFFF-FFFF00000000}"/>
  </bookViews>
  <sheets>
    <sheet name="Template NPL Produktif Provinsi" sheetId="1" r:id="rId1"/>
    <sheet name="Template NPL Konsumtif Provinsi" sheetId="2" r:id="rId2"/>
    <sheet name="Template NPL Jenis Bank" sheetId="3" r:id="rId3"/>
    <sheet name="Template NPL Sekt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8" i="2" l="1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6" i="3"/>
  <c r="Q5" i="3"/>
  <c r="Q4" i="3"/>
  <c r="Q3" i="3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S4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D36" i="2"/>
  <c r="G36" i="2"/>
  <c r="J36" i="2"/>
  <c r="M36" i="2"/>
  <c r="P36" i="2"/>
  <c r="R36" i="2"/>
  <c r="S36" i="2" s="1"/>
  <c r="D36" i="1"/>
  <c r="G36" i="1"/>
  <c r="J36" i="1"/>
  <c r="M36" i="1"/>
  <c r="P36" i="1"/>
  <c r="R36" i="1"/>
  <c r="R5" i="2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S19" i="4" s="1"/>
  <c r="R8" i="4"/>
  <c r="R7" i="4"/>
  <c r="R6" i="4"/>
  <c r="R5" i="4"/>
  <c r="S5" i="4" s="1"/>
  <c r="R4" i="4"/>
  <c r="R3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D9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8" i="4"/>
  <c r="D7" i="4"/>
  <c r="D6" i="4"/>
  <c r="D5" i="4"/>
  <c r="D4" i="4"/>
  <c r="D3" i="4"/>
  <c r="R6" i="3"/>
  <c r="R5" i="3"/>
  <c r="R4" i="3"/>
  <c r="R3" i="3"/>
  <c r="P6" i="3"/>
  <c r="P5" i="3"/>
  <c r="P4" i="3"/>
  <c r="P3" i="3"/>
  <c r="M6" i="3"/>
  <c r="M5" i="3"/>
  <c r="M4" i="3"/>
  <c r="M3" i="3"/>
  <c r="J6" i="3"/>
  <c r="J5" i="3"/>
  <c r="J4" i="3"/>
  <c r="J3" i="3"/>
  <c r="G6" i="3"/>
  <c r="G5" i="3"/>
  <c r="G4" i="3"/>
  <c r="G3" i="3"/>
  <c r="D6" i="3"/>
  <c r="D5" i="3"/>
  <c r="D4" i="3"/>
  <c r="D3" i="3"/>
  <c r="R35" i="2"/>
  <c r="R34" i="2"/>
  <c r="R33" i="2"/>
  <c r="R32" i="2"/>
  <c r="R31" i="2"/>
  <c r="S31" i="2" s="1"/>
  <c r="R30" i="2"/>
  <c r="R29" i="2"/>
  <c r="S29" i="2" s="1"/>
  <c r="R28" i="2"/>
  <c r="R27" i="2"/>
  <c r="R26" i="2"/>
  <c r="R25" i="2"/>
  <c r="R24" i="2"/>
  <c r="R23" i="2"/>
  <c r="R22" i="2"/>
  <c r="S22" i="2" s="1"/>
  <c r="R21" i="2"/>
  <c r="S21" i="2" s="1"/>
  <c r="R20" i="2"/>
  <c r="R19" i="2"/>
  <c r="S19" i="2" s="1"/>
  <c r="R18" i="2"/>
  <c r="R17" i="2"/>
  <c r="R16" i="2"/>
  <c r="R15" i="2"/>
  <c r="S15" i="2" s="1"/>
  <c r="R14" i="2"/>
  <c r="R13" i="2"/>
  <c r="S13" i="2" s="1"/>
  <c r="R12" i="2"/>
  <c r="R11" i="2"/>
  <c r="R10" i="2"/>
  <c r="R9" i="2"/>
  <c r="R8" i="2"/>
  <c r="R7" i="2"/>
  <c r="R6" i="2"/>
  <c r="S6" i="2" s="1"/>
  <c r="R4" i="2"/>
  <c r="S4" i="2" s="1"/>
  <c r="R3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S19" i="1" s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S38" i="1" s="1"/>
  <c r="R4" i="1"/>
  <c r="R3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S21" i="4" l="1"/>
  <c r="S6" i="4"/>
  <c r="S22" i="4"/>
  <c r="S7" i="4"/>
  <c r="S23" i="4"/>
  <c r="S25" i="4"/>
  <c r="S10" i="4"/>
  <c r="S26" i="4"/>
  <c r="S11" i="4"/>
  <c r="S17" i="4"/>
  <c r="S13" i="4"/>
  <c r="S14" i="4"/>
  <c r="S15" i="4"/>
  <c r="S18" i="4"/>
  <c r="S3" i="4"/>
  <c r="S4" i="4"/>
  <c r="S20" i="4"/>
  <c r="S24" i="4"/>
  <c r="S8" i="4"/>
  <c r="S12" i="4"/>
  <c r="S16" i="4"/>
  <c r="S4" i="3"/>
  <c r="S6" i="3"/>
  <c r="S3" i="2"/>
  <c r="S20" i="2"/>
  <c r="S9" i="2"/>
  <c r="S11" i="2"/>
  <c r="S12" i="2"/>
  <c r="S28" i="2"/>
  <c r="S14" i="2"/>
  <c r="S17" i="2"/>
  <c r="S33" i="2"/>
  <c r="S18" i="2"/>
  <c r="S34" i="2"/>
  <c r="S7" i="2"/>
  <c r="S8" i="2"/>
  <c r="S25" i="2"/>
  <c r="S10" i="2"/>
  <c r="S30" i="2"/>
  <c r="S16" i="2"/>
  <c r="S35" i="2"/>
  <c r="S23" i="2"/>
  <c r="S24" i="2"/>
  <c r="S26" i="2"/>
  <c r="S27" i="2"/>
  <c r="S32" i="2"/>
  <c r="S3" i="1"/>
  <c r="S35" i="1"/>
  <c r="S20" i="1"/>
  <c r="S6" i="1"/>
  <c r="S7" i="1"/>
  <c r="S21" i="1"/>
  <c r="S22" i="1"/>
  <c r="S36" i="1"/>
  <c r="S23" i="1"/>
  <c r="S8" i="1"/>
  <c r="S24" i="1"/>
  <c r="S25" i="1"/>
  <c r="S10" i="1"/>
  <c r="S26" i="1"/>
  <c r="S9" i="1"/>
  <c r="S27" i="1"/>
  <c r="S11" i="1"/>
  <c r="S12" i="1"/>
  <c r="S28" i="1"/>
  <c r="S29" i="1"/>
  <c r="S14" i="1"/>
  <c r="S30" i="1"/>
  <c r="S31" i="1"/>
  <c r="S16" i="1"/>
  <c r="S32" i="1"/>
  <c r="S15" i="1"/>
  <c r="S17" i="1"/>
  <c r="S33" i="1"/>
  <c r="S13" i="1"/>
  <c r="S18" i="1"/>
  <c r="S34" i="1"/>
  <c r="S3" i="3"/>
</calcChain>
</file>

<file path=xl/sharedStrings.xml><?xml version="1.0" encoding="utf-8"?>
<sst xmlns="http://schemas.openxmlformats.org/spreadsheetml/2006/main" count="194" uniqueCount="73">
  <si>
    <t>Pembiayaan</t>
  </si>
  <si>
    <t>NPL</t>
  </si>
  <si>
    <t>NPL (%)</t>
  </si>
  <si>
    <t>Average NPL</t>
  </si>
  <si>
    <t>Average Relativity</t>
  </si>
  <si>
    <t>Jawa Barat</t>
  </si>
  <si>
    <t>Banten</t>
  </si>
  <si>
    <t>DKI Jakarta</t>
  </si>
  <si>
    <t>D.I Yogyakarta</t>
  </si>
  <si>
    <t>Jawa Tengah</t>
  </si>
  <si>
    <t>Jawa Timur</t>
  </si>
  <si>
    <t>Bengkulu</t>
  </si>
  <si>
    <t>Jambi</t>
  </si>
  <si>
    <t xml:space="preserve">Aceh </t>
  </si>
  <si>
    <t>Sumatera Utara</t>
  </si>
  <si>
    <t>Sumatera Barat</t>
  </si>
  <si>
    <t>Riau</t>
  </si>
  <si>
    <t>Sumatera Selatan</t>
  </si>
  <si>
    <t>Bangka Belitung</t>
  </si>
  <si>
    <t>Kepulauan Riau</t>
  </si>
  <si>
    <t>Lampung</t>
  </si>
  <si>
    <t>Kalimantan Selatan</t>
  </si>
  <si>
    <t>Kalimantan Barat</t>
  </si>
  <si>
    <t>Kalimantan Timur</t>
  </si>
  <si>
    <t>Kalimantan Tengah</t>
  </si>
  <si>
    <t>Sulawesi Tengah</t>
  </si>
  <si>
    <t>Sulawesi Selatan</t>
  </si>
  <si>
    <t>Sulawesi Utara</t>
  </si>
  <si>
    <t>Gorontalo</t>
  </si>
  <si>
    <t>Sulawesi Barat</t>
  </si>
  <si>
    <t>Sulawesi Tenggara</t>
  </si>
  <si>
    <t>Nusa Tenggara Barat</t>
  </si>
  <si>
    <t>Bali</t>
  </si>
  <si>
    <t>Nusa Tenggara Timur</t>
  </si>
  <si>
    <t xml:space="preserve">Maluku </t>
  </si>
  <si>
    <t>Papua</t>
  </si>
  <si>
    <t>Maluku Utara</t>
  </si>
  <si>
    <t>Papua Barat</t>
  </si>
  <si>
    <t>Lainnya</t>
  </si>
  <si>
    <t>Tahun XXXX</t>
  </si>
  <si>
    <t>Produktif</t>
  </si>
  <si>
    <t>Jenis Bank</t>
  </si>
  <si>
    <t>Bank Persero</t>
  </si>
  <si>
    <t>BPD</t>
  </si>
  <si>
    <t>Bank Swasta</t>
  </si>
  <si>
    <t>Bank Yang Berkedudukan Di Luar Negeri</t>
  </si>
  <si>
    <t xml:space="preserve">Pertanian, perburuan dan Kehutanan </t>
  </si>
  <si>
    <t>Perikanan</t>
  </si>
  <si>
    <t>Pertambangan dan Penggalian</t>
  </si>
  <si>
    <t xml:space="preserve">Industri Pengolahan </t>
  </si>
  <si>
    <t xml:space="preserve">Listrik, gas dan air </t>
  </si>
  <si>
    <t xml:space="preserve">Konstruksi </t>
  </si>
  <si>
    <t>Perdagangan Besar dan Eceran</t>
  </si>
  <si>
    <t>Penyediaan akomodasi dan penyediaan makan minum</t>
  </si>
  <si>
    <t xml:space="preserve">Transportasi, pergudangan dan komunikasi </t>
  </si>
  <si>
    <t xml:space="preserve">Perantara Keuangan </t>
  </si>
  <si>
    <t>Real Estate, Usaha Persewaan, dan Jasa Perusahaan</t>
  </si>
  <si>
    <t>Admistrasi Pemerintahan, Pertahanan dan Jaminan Sosial Wajib</t>
  </si>
  <si>
    <t>Jasa Pendidikan</t>
  </si>
  <si>
    <t xml:space="preserve">Jasa Kesehatan dan Kegiatan Sosial </t>
  </si>
  <si>
    <t>Jasa Kemasyarakatan, Sosial Budaya, Hiburan dan Perorangan lainnya</t>
  </si>
  <si>
    <t>Jasa Perorangan yang Melayani Rumah Tangga</t>
  </si>
  <si>
    <t>Badan Internasional dan Badan Ekstra Internasional Lainnya</t>
  </si>
  <si>
    <t>Kegiatan yang belum jelas batasannya</t>
  </si>
  <si>
    <t>Rumah Tangga -  Untuk Pemilikan Rumah Tinggal</t>
  </si>
  <si>
    <t>Rumah Tangga -  Untuk Pemilikan Flat atau Apartemen</t>
  </si>
  <si>
    <t>Rumah Tangga -   Untuk Pemilikan Ruko atau Rukan</t>
  </si>
  <si>
    <t>Rumah Tangga - Untuk Pemilikan Kendaraan Bermotor</t>
  </si>
  <si>
    <t>Rumah Tangga - Untuk Pemilikan Peralatan Rumah Tangga Lainnya</t>
  </si>
  <si>
    <t>Bukan Lapangan Usaha Lainnya</t>
  </si>
  <si>
    <t>Sektor</t>
  </si>
  <si>
    <t>NPL Acuan</t>
  </si>
  <si>
    <t>Total Pembiayaan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</si>
</sst>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F800]dddd\,\ mmmm\ dd\,\ yyyy"/>
    <numFmt numFmtId="165" formatCode="_(* #,##0_);_(* \(#,##0\);_(* &quot;-&quot;??_);_(@_)"/>
    <numFmt numFmtId="170" formatCode="_-* #,##0_-;\-* #,##0_-;_-* &quot;-&quot;_-;_-@_-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Optima"/>
      <family val="2"/>
    </font>
    <font>
      <sz val="10"/>
      <name val="Optima"/>
    </font>
    <font>
      <b/>
      <sz val="10"/>
      <color theme="0"/>
      <name val="Opti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170" fontId="1" fillId="0" borderId="0" applyFont="0" applyFill="0" applyBorder="0" applyAlignment="0" applyProtection="0"/>
  </cellStyleXfs>
  <cellXfs count="99">
    <xf numFmtId="0" fontId="0" fillId="0" borderId="0" xfId="0"/>
    <xf numFmtId="165" fontId="5" fillId="5" borderId="1" xfId="1" applyNumberFormat="1" applyFont="1" applyFill="1" applyBorder="1" applyAlignment="1">
      <alignment horizontal="center" vertical="center"/>
    </xf>
    <xf numFmtId="0" fontId="5" fillId="5" borderId="1" xfId="3" applyFont="1" applyFill="1" applyBorder="1" applyAlignment="1">
      <alignment horizontal="center" vertical="center"/>
    </xf>
    <xf numFmtId="165" fontId="0" fillId="3" borderId="1" xfId="1" applyNumberFormat="1" applyFont="1" applyFill="1" applyBorder="1"/>
    <xf numFmtId="165" fontId="5" fillId="2" borderId="1" xfId="1" applyNumberFormat="1" applyFont="1" applyFill="1" applyBorder="1" applyAlignment="1">
      <alignment horizontal="center" vertical="center"/>
    </xf>
    <xf numFmtId="0" fontId="5" fillId="2" borderId="1" xfId="3" applyFont="1" applyFill="1" applyBorder="1" applyAlignment="1">
      <alignment horizontal="center" vertical="center"/>
    </xf>
    <xf numFmtId="165" fontId="0" fillId="4" borderId="1" xfId="1" applyNumberFormat="1" applyFont="1" applyFill="1" applyBorder="1"/>
    <xf numFmtId="165" fontId="5" fillId="6" borderId="1" xfId="1" applyNumberFormat="1" applyFont="1" applyFill="1" applyBorder="1" applyAlignment="1">
      <alignment horizontal="center" vertical="center"/>
    </xf>
    <xf numFmtId="0" fontId="5" fillId="6" borderId="1" xfId="3" applyFont="1" applyFill="1" applyBorder="1" applyAlignment="1">
      <alignment horizontal="center" vertical="center"/>
    </xf>
    <xf numFmtId="165" fontId="0" fillId="7" borderId="1" xfId="1" applyNumberFormat="1" applyFont="1" applyFill="1" applyBorder="1"/>
    <xf numFmtId="165" fontId="5" fillId="8" borderId="1" xfId="1" applyNumberFormat="1" applyFont="1" applyFill="1" applyBorder="1" applyAlignment="1">
      <alignment horizontal="center" vertical="center"/>
    </xf>
    <xf numFmtId="0" fontId="5" fillId="8" borderId="1" xfId="3" applyFont="1" applyFill="1" applyBorder="1" applyAlignment="1">
      <alignment horizontal="center" vertical="center"/>
    </xf>
    <xf numFmtId="165" fontId="0" fillId="9" borderId="1" xfId="1" applyNumberFormat="1" applyFont="1" applyFill="1" applyBorder="1"/>
    <xf numFmtId="165" fontId="6" fillId="9" borderId="1" xfId="1" applyNumberFormat="1" applyFont="1" applyFill="1" applyBorder="1" applyAlignment="1">
      <alignment vertical="center"/>
    </xf>
    <xf numFmtId="165" fontId="5" fillId="10" borderId="1" xfId="1" applyNumberFormat="1" applyFont="1" applyFill="1" applyBorder="1" applyAlignment="1">
      <alignment horizontal="center" vertical="center"/>
    </xf>
    <xf numFmtId="0" fontId="5" fillId="10" borderId="1" xfId="3" applyFont="1" applyFill="1" applyBorder="1" applyAlignment="1">
      <alignment horizontal="center" vertical="center"/>
    </xf>
    <xf numFmtId="165" fontId="0" fillId="11" borderId="1" xfId="1" applyNumberFormat="1" applyFont="1" applyFill="1" applyBorder="1"/>
    <xf numFmtId="165" fontId="6" fillId="11" borderId="1" xfId="1" applyNumberFormat="1" applyFont="1" applyFill="1" applyBorder="1" applyAlignment="1">
      <alignment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5" fontId="0" fillId="3" borderId="1" xfId="1" applyNumberFormat="1" applyFont="1" applyFill="1" applyBorder="1" applyAlignment="1">
      <alignment vertical="center"/>
    </xf>
    <xf numFmtId="165" fontId="0" fillId="4" borderId="1" xfId="1" applyNumberFormat="1" applyFont="1" applyFill="1" applyBorder="1" applyAlignment="1">
      <alignment vertical="center"/>
    </xf>
    <xf numFmtId="165" fontId="0" fillId="7" borderId="1" xfId="1" applyNumberFormat="1" applyFont="1" applyFill="1" applyBorder="1" applyAlignment="1">
      <alignment vertical="center"/>
    </xf>
    <xf numFmtId="165" fontId="0" fillId="9" borderId="1" xfId="1" applyNumberFormat="1" applyFont="1" applyFill="1" applyBorder="1" applyAlignment="1">
      <alignment vertical="center"/>
    </xf>
    <xf numFmtId="165" fontId="0" fillId="11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10" fontId="3" fillId="3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4" borderId="1" xfId="2" applyNumberFormat="1" applyFont="1" applyFill="1" applyBorder="1" applyAlignment="1">
      <alignment horizontal="center" vertical="center"/>
    </xf>
    <xf numFmtId="10" fontId="3" fillId="7" borderId="1" xfId="2" applyNumberFormat="1" applyFont="1" applyFill="1" applyBorder="1" applyAlignment="1">
      <alignment horizontal="center" vertical="center"/>
    </xf>
    <xf numFmtId="10" fontId="3" fillId="9" borderId="1" xfId="2" applyNumberFormat="1" applyFont="1" applyFill="1" applyBorder="1" applyAlignment="1">
      <alignment horizontal="center" vertical="center"/>
    </xf>
    <xf numFmtId="10" fontId="3" fillId="11" borderId="1" xfId="2" applyNumberFormat="1" applyFont="1" applyFill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2" fontId="3" fillId="0" borderId="1" xfId="2" applyNumberFormat="1" applyFont="1" applyBorder="1" applyAlignment="1">
      <alignment horizontal="center" vertical="center"/>
    </xf>
    <xf numFmtId="2" fontId="9" fillId="13" borderId="1" xfId="2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0" fontId="3" fillId="13" borderId="0" xfId="0" applyNumberFormat="1" applyFont="1" applyFill="1" applyAlignment="1">
      <alignment horizontal="center" vertical="center"/>
    </xf>
    <xf numFmtId="10" fontId="3" fillId="13" borderId="1" xfId="2" applyNumberFormat="1" applyFont="1" applyFill="1" applyBorder="1" applyAlignment="1">
      <alignment horizontal="center" vertical="center"/>
    </xf>
    <xf numFmtId="10" fontId="3" fillId="3" borderId="1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0" fontId="3" fillId="13" borderId="1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4" borderId="1" xfId="2" applyNumberFormat="1" applyFont="1" applyFill="1" applyBorder="1" applyAlignment="1">
      <alignment horizontal="center"/>
    </xf>
    <xf numFmtId="10" fontId="3" fillId="7" borderId="1" xfId="2" applyNumberFormat="1" applyFont="1" applyFill="1" applyBorder="1" applyAlignment="1">
      <alignment horizontal="center"/>
    </xf>
    <xf numFmtId="10" fontId="3" fillId="9" borderId="1" xfId="2" applyNumberFormat="1" applyFont="1" applyFill="1" applyBorder="1" applyAlignment="1">
      <alignment horizontal="center"/>
    </xf>
    <xf numFmtId="10" fontId="3" fillId="11" borderId="1" xfId="2" applyNumberFormat="1" applyFont="1" applyFill="1" applyBorder="1" applyAlignment="1">
      <alignment horizontal="center"/>
    </xf>
    <xf numFmtId="10" fontId="3" fillId="0" borderId="1" xfId="2" applyNumberFormat="1" applyFont="1" applyFill="1" applyBorder="1" applyAlignment="1">
      <alignment horizontal="center"/>
    </xf>
    <xf numFmtId="2" fontId="3" fillId="0" borderId="1" xfId="2" applyNumberFormat="1" applyFont="1" applyFill="1" applyBorder="1" applyAlignment="1">
      <alignment horizontal="center"/>
    </xf>
    <xf numFmtId="0" fontId="8" fillId="0" borderId="1" xfId="0" applyFont="1" applyBorder="1" applyAlignment="1">
      <alignment vertical="center"/>
    </xf>
    <xf numFmtId="165" fontId="8" fillId="3" borderId="1" xfId="1" applyNumberFormat="1" applyFont="1" applyFill="1" applyBorder="1" applyAlignment="1">
      <alignment vertical="center"/>
    </xf>
    <xf numFmtId="10" fontId="9" fillId="3" borderId="1" xfId="2" applyNumberFormat="1" applyFont="1" applyFill="1" applyBorder="1" applyAlignment="1">
      <alignment horizontal="center" vertical="center"/>
    </xf>
    <xf numFmtId="165" fontId="8" fillId="4" borderId="1" xfId="1" applyNumberFormat="1" applyFont="1" applyFill="1" applyBorder="1" applyAlignment="1">
      <alignment vertical="center"/>
    </xf>
    <xf numFmtId="10" fontId="9" fillId="4" borderId="1" xfId="2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vertical="center"/>
    </xf>
    <xf numFmtId="10" fontId="9" fillId="7" borderId="1" xfId="2" applyNumberFormat="1" applyFont="1" applyFill="1" applyBorder="1" applyAlignment="1">
      <alignment horizontal="center" vertical="center"/>
    </xf>
    <xf numFmtId="165" fontId="8" fillId="9" borderId="1" xfId="1" applyNumberFormat="1" applyFont="1" applyFill="1" applyBorder="1" applyAlignment="1">
      <alignment vertical="center"/>
    </xf>
    <xf numFmtId="10" fontId="9" fillId="9" borderId="1" xfId="2" applyNumberFormat="1" applyFont="1" applyFill="1" applyBorder="1" applyAlignment="1">
      <alignment horizontal="center" vertical="center"/>
    </xf>
    <xf numFmtId="165" fontId="8" fillId="11" borderId="1" xfId="1" applyNumberFormat="1" applyFont="1" applyFill="1" applyBorder="1" applyAlignment="1">
      <alignment vertical="center"/>
    </xf>
    <xf numFmtId="10" fontId="9" fillId="11" borderId="1" xfId="2" applyNumberFormat="1" applyFont="1" applyFill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165" fontId="8" fillId="3" borderId="1" xfId="1" applyNumberFormat="1" applyFont="1" applyFill="1" applyBorder="1"/>
    <xf numFmtId="165" fontId="8" fillId="4" borderId="1" xfId="1" applyNumberFormat="1" applyFont="1" applyFill="1" applyBorder="1"/>
    <xf numFmtId="10" fontId="9" fillId="4" borderId="1" xfId="2" applyNumberFormat="1" applyFont="1" applyFill="1" applyBorder="1" applyAlignment="1">
      <alignment horizontal="center"/>
    </xf>
    <xf numFmtId="165" fontId="8" fillId="7" borderId="1" xfId="1" applyNumberFormat="1" applyFont="1" applyFill="1" applyBorder="1"/>
    <xf numFmtId="10" fontId="9" fillId="7" borderId="1" xfId="2" applyNumberFormat="1" applyFont="1" applyFill="1" applyBorder="1" applyAlignment="1">
      <alignment horizontal="center"/>
    </xf>
    <xf numFmtId="165" fontId="8" fillId="9" borderId="1" xfId="1" applyNumberFormat="1" applyFont="1" applyFill="1" applyBorder="1"/>
    <xf numFmtId="10" fontId="9" fillId="9" borderId="1" xfId="2" applyNumberFormat="1" applyFont="1" applyFill="1" applyBorder="1" applyAlignment="1">
      <alignment horizontal="center"/>
    </xf>
    <xf numFmtId="165" fontId="8" fillId="11" borderId="1" xfId="1" applyNumberFormat="1" applyFont="1" applyFill="1" applyBorder="1"/>
    <xf numFmtId="10" fontId="9" fillId="11" borderId="1" xfId="2" applyNumberFormat="1" applyFont="1" applyFill="1" applyBorder="1" applyAlignment="1">
      <alignment horizontal="center"/>
    </xf>
    <xf numFmtId="10" fontId="9" fillId="0" borderId="1" xfId="2" applyNumberFormat="1" applyFont="1" applyBorder="1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2" fontId="3" fillId="13" borderId="1" xfId="2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left" vertical="center"/>
    </xf>
    <xf numFmtId="165" fontId="3" fillId="11" borderId="1" xfId="1" applyNumberFormat="1" applyFont="1" applyFill="1" applyBorder="1" applyAlignment="1">
      <alignment horizontal="center" vertical="center"/>
    </xf>
    <xf numFmtId="165" fontId="3" fillId="13" borderId="1" xfId="1" applyNumberFormat="1" applyFont="1" applyFill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/>
    </xf>
    <xf numFmtId="165" fontId="3" fillId="0" borderId="1" xfId="1" applyNumberFormat="1" applyFont="1" applyFill="1" applyBorder="1" applyAlignment="1">
      <alignment horizontal="center"/>
    </xf>
    <xf numFmtId="165" fontId="3" fillId="13" borderId="1" xfId="1" applyNumberFormat="1" applyFont="1" applyFill="1" applyBorder="1" applyAlignment="1">
      <alignment horizontal="center"/>
    </xf>
    <xf numFmtId="2" fontId="3" fillId="13" borderId="1" xfId="2" applyNumberFormat="1" applyFont="1" applyFill="1" applyBorder="1" applyAlignment="1">
      <alignment horizontal="center"/>
    </xf>
    <xf numFmtId="165" fontId="3" fillId="0" borderId="1" xfId="2" applyNumberFormat="1" applyFont="1" applyFill="1" applyBorder="1" applyAlignment="1">
      <alignment horizontal="center" vertical="center"/>
    </xf>
    <xf numFmtId="165" fontId="3" fillId="13" borderId="1" xfId="2" applyNumberFormat="1" applyFont="1" applyFill="1" applyBorder="1" applyAlignment="1">
      <alignment horizontal="center" vertical="center"/>
    </xf>
    <xf numFmtId="0" fontId="7" fillId="12" borderId="2" xfId="3" applyFont="1" applyFill="1" applyBorder="1" applyAlignment="1">
      <alignment horizontal="center" vertical="center"/>
    </xf>
    <xf numFmtId="0" fontId="7" fillId="12" borderId="3" xfId="3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2" borderId="5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43" fontId="5" fillId="5" borderId="1" xfId="1" applyFont="1" applyFill="1" applyBorder="1" applyAlignment="1">
      <alignment horizontal="center" vertical="center"/>
    </xf>
    <xf numFmtId="43" fontId="5" fillId="2" borderId="1" xfId="1" applyFont="1" applyFill="1" applyBorder="1" applyAlignment="1">
      <alignment horizontal="center" vertical="center"/>
    </xf>
    <xf numFmtId="43" fontId="5" fillId="6" borderId="1" xfId="1" applyFont="1" applyFill="1" applyBorder="1" applyAlignment="1">
      <alignment horizontal="center" vertical="center"/>
    </xf>
    <xf numFmtId="164" fontId="5" fillId="8" borderId="1" xfId="1" quotePrefix="1" applyNumberFormat="1" applyFont="1" applyFill="1" applyBorder="1" applyAlignment="1">
      <alignment horizontal="center" vertical="center"/>
    </xf>
    <xf numFmtId="164" fontId="5" fillId="8" borderId="1" xfId="1" applyNumberFormat="1" applyFont="1" applyFill="1" applyBorder="1" applyAlignment="1">
      <alignment horizontal="center" vertical="center"/>
    </xf>
    <xf numFmtId="164" fontId="5" fillId="10" borderId="1" xfId="1" quotePrefix="1" applyNumberFormat="1" applyFont="1" applyFill="1" applyBorder="1" applyAlignment="1">
      <alignment horizontal="center" vertical="center"/>
    </xf>
    <xf numFmtId="164" fontId="5" fillId="10" borderId="1" xfId="1" applyNumberFormat="1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 wrapText="1"/>
    </xf>
    <xf numFmtId="0" fontId="2" fillId="12" borderId="4" xfId="0" applyFont="1" applyFill="1" applyBorder="1" applyAlignment="1">
      <alignment horizontal="center" vertical="center" wrapText="1"/>
    </xf>
  </cellXfs>
  <cellStyles count="8">
    <cellStyle name="Comma" xfId="1" builtinId="3"/>
    <cellStyle name="Comma [0] 2 2" xfId="7" xr:uid="{2FA565EF-0216-4BCD-8A57-56ED516D537C}"/>
    <cellStyle name="Normal" xfId="0" builtinId="0"/>
    <cellStyle name="Normal 2 3" xfId="4" xr:uid="{B872C6D1-2A1D-495A-944F-58214C4FEFC2}"/>
    <cellStyle name="Normal 4" xfId="3" xr:uid="{020B4303-9C25-4C89-A2EF-C7C350F075D4}"/>
    <cellStyle name="Percent" xfId="2" builtinId="5"/>
    <cellStyle name="Percent 2 2" xfId="5" xr:uid="{2B99FB88-F152-46A4-A694-3B86142AFF5E}"/>
    <cellStyle name="Percent 3" xfId="6" xr:uid="{78008BAC-E616-4F83-951A-B455210AC4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zoomScaleNormal="100" workbookViewId="0">
      <selection activeCell="S3" sqref="A3:S3"/>
    </sheetView>
  </sheetViews>
  <sheetFormatPr defaultRowHeight="14.5"/>
  <cols>
    <col min="1" max="1" width="18.6328125" style="19" bestFit="1" customWidth="1"/>
    <col min="2" max="2" width="12.453125" style="19" bestFit="1" customWidth="1"/>
    <col min="3" max="3" width="11.81640625" style="19" bestFit="1" customWidth="1"/>
    <col min="4" max="4" width="11.81640625" style="28" bestFit="1" customWidth="1"/>
    <col min="5" max="5" width="12.453125" style="19" bestFit="1" customWidth="1"/>
    <col min="6" max="6" width="11.81640625" style="19" bestFit="1" customWidth="1"/>
    <col min="7" max="7" width="11.81640625" style="29" bestFit="1" customWidth="1"/>
    <col min="8" max="8" width="12.453125" style="19" bestFit="1" customWidth="1"/>
    <col min="9" max="9" width="11.81640625" style="19" bestFit="1" customWidth="1"/>
    <col min="10" max="10" width="11.81640625" style="29" bestFit="1" customWidth="1"/>
    <col min="11" max="11" width="12.453125" style="19" bestFit="1" customWidth="1"/>
    <col min="12" max="12" width="11.81640625" style="19" bestFit="1" customWidth="1"/>
    <col min="13" max="13" width="11.81640625" style="29" bestFit="1" customWidth="1"/>
    <col min="14" max="14" width="12.453125" style="19" bestFit="1" customWidth="1"/>
    <col min="15" max="15" width="11.81640625" style="19" bestFit="1" customWidth="1"/>
    <col min="16" max="16" width="11.81640625" style="29" bestFit="1" customWidth="1"/>
    <col min="17" max="17" width="11.81640625" style="29" customWidth="1"/>
    <col min="18" max="18" width="11.1796875" style="26" bestFit="1" customWidth="1"/>
    <col min="19" max="19" width="15.81640625" style="26" bestFit="1" customWidth="1"/>
    <col min="20" max="16384" width="8.7265625" style="19"/>
  </cols>
  <sheetData>
    <row r="1" spans="1:19" ht="14.5" customHeight="1">
      <c r="A1" s="84" t="s">
        <v>40</v>
      </c>
      <c r="B1" s="90" t="s">
        <v>39</v>
      </c>
      <c r="C1" s="90"/>
      <c r="D1" s="90"/>
      <c r="E1" s="91" t="s">
        <v>39</v>
      </c>
      <c r="F1" s="91"/>
      <c r="G1" s="91"/>
      <c r="H1" s="92" t="s">
        <v>39</v>
      </c>
      <c r="I1" s="92"/>
      <c r="J1" s="92"/>
      <c r="K1" s="93" t="s">
        <v>39</v>
      </c>
      <c r="L1" s="94"/>
      <c r="M1" s="94"/>
      <c r="N1" s="95" t="s">
        <v>39</v>
      </c>
      <c r="O1" s="96"/>
      <c r="P1" s="96"/>
      <c r="Q1" s="86" t="s">
        <v>72</v>
      </c>
      <c r="R1" s="89" t="s">
        <v>3</v>
      </c>
      <c r="S1" s="88" t="s">
        <v>4</v>
      </c>
    </row>
    <row r="2" spans="1:19" ht="29" customHeight="1">
      <c r="A2" s="85"/>
      <c r="B2" s="1" t="s">
        <v>0</v>
      </c>
      <c r="C2" s="1" t="s">
        <v>1</v>
      </c>
      <c r="D2" s="2" t="s">
        <v>2</v>
      </c>
      <c r="E2" s="4" t="s">
        <v>0</v>
      </c>
      <c r="F2" s="4" t="s">
        <v>1</v>
      </c>
      <c r="G2" s="5" t="s">
        <v>2</v>
      </c>
      <c r="H2" s="7" t="s">
        <v>0</v>
      </c>
      <c r="I2" s="7" t="s">
        <v>1</v>
      </c>
      <c r="J2" s="8" t="s">
        <v>2</v>
      </c>
      <c r="K2" s="10" t="s">
        <v>0</v>
      </c>
      <c r="L2" s="10" t="s">
        <v>1</v>
      </c>
      <c r="M2" s="11" t="s">
        <v>2</v>
      </c>
      <c r="N2" s="14" t="s">
        <v>0</v>
      </c>
      <c r="O2" s="14" t="s">
        <v>1</v>
      </c>
      <c r="P2" s="15" t="s">
        <v>2</v>
      </c>
      <c r="Q2" s="87"/>
      <c r="R2" s="89"/>
      <c r="S2" s="88"/>
    </row>
    <row r="3" spans="1:19">
      <c r="A3" s="20" t="s">
        <v>5</v>
      </c>
      <c r="B3" s="21">
        <v>206931.32529733999</v>
      </c>
      <c r="C3" s="21">
        <v>11682.614152897</v>
      </c>
      <c r="D3" s="27">
        <f t="shared" ref="D3:D36" si="0">IFERROR((C3/B3),0)</f>
        <v>5.6456479636953133E-2</v>
      </c>
      <c r="E3" s="22">
        <v>220106.437484378</v>
      </c>
      <c r="F3" s="22">
        <v>9176.4600947130002</v>
      </c>
      <c r="G3" s="30">
        <f t="shared" ref="G3:G36" si="1">IFERROR((F3/E3),0)</f>
        <v>4.169101185586313E-2</v>
      </c>
      <c r="H3" s="23">
        <v>238321.89411310302</v>
      </c>
      <c r="I3" s="23">
        <v>10169.346322609999</v>
      </c>
      <c r="J3" s="31">
        <f t="shared" ref="J3:J36" si="2">IFERROR((I3/H3),0)</f>
        <v>4.2670634019817841E-2</v>
      </c>
      <c r="K3" s="24">
        <v>287758.82017272798</v>
      </c>
      <c r="L3" s="13">
        <v>11998.387799</v>
      </c>
      <c r="M3" s="32">
        <f t="shared" ref="M3:M36" si="3">IFERROR((L3/K3),0)</f>
        <v>4.169598621442059E-2</v>
      </c>
      <c r="N3" s="25">
        <v>300376.84248580597</v>
      </c>
      <c r="O3" s="17">
        <v>11719.197050412</v>
      </c>
      <c r="P3" s="33">
        <f t="shared" ref="P3:P36" si="4">IFERROR((O3/N3),0)</f>
        <v>3.9014981825590565E-2</v>
      </c>
      <c r="Q3" s="76">
        <f>+B3+E3+H3+K3+N3</f>
        <v>1253495.319553355</v>
      </c>
      <c r="R3" s="34">
        <f t="shared" ref="R3:R36" si="5">SUM(C3,F3,I3,L3,O3)/SUM(B3,E3,H3,K3,N3)</f>
        <v>4.3674678768756053E-2</v>
      </c>
      <c r="S3" s="35">
        <f>R3/R$5*S$5</f>
        <v>2.1549299243539037</v>
      </c>
    </row>
    <row r="4" spans="1:19">
      <c r="A4" s="20" t="s">
        <v>6</v>
      </c>
      <c r="B4" s="21">
        <v>59935.301616657998</v>
      </c>
      <c r="C4" s="21">
        <v>1856.8824210839998</v>
      </c>
      <c r="D4" s="27">
        <f t="shared" si="0"/>
        <v>3.0981447844552281E-2</v>
      </c>
      <c r="E4" s="22">
        <v>72801.267581469001</v>
      </c>
      <c r="F4" s="22">
        <v>1679.0659891579999</v>
      </c>
      <c r="G4" s="30">
        <f t="shared" si="1"/>
        <v>2.3063691676508572E-2</v>
      </c>
      <c r="H4" s="23">
        <v>79479.934962749001</v>
      </c>
      <c r="I4" s="23">
        <v>1548.346432261</v>
      </c>
      <c r="J4" s="31">
        <f t="shared" si="2"/>
        <v>1.9480972562278587E-2</v>
      </c>
      <c r="K4" s="24">
        <v>98669.453018062995</v>
      </c>
      <c r="L4" s="13">
        <v>1911.5107133010001</v>
      </c>
      <c r="M4" s="32">
        <f t="shared" si="3"/>
        <v>1.9372872300721766E-2</v>
      </c>
      <c r="N4" s="25">
        <v>100908.32710370599</v>
      </c>
      <c r="O4" s="17">
        <v>1969.6915808880001</v>
      </c>
      <c r="P4" s="33">
        <f t="shared" si="4"/>
        <v>1.9519613865600003E-2</v>
      </c>
      <c r="Q4" s="76">
        <f t="shared" ref="Q4:Q36" si="6">+B4+E4+H4+K4+N4</f>
        <v>411794.28428264498</v>
      </c>
      <c r="R4" s="34">
        <f t="shared" si="5"/>
        <v>2.177178625077349E-2</v>
      </c>
      <c r="S4" s="35">
        <f>R4/R$5*S$5</f>
        <v>1.0742305386340216</v>
      </c>
    </row>
    <row r="5" spans="1:19">
      <c r="A5" s="50" t="s">
        <v>7</v>
      </c>
      <c r="B5" s="21">
        <v>1880955.854424383</v>
      </c>
      <c r="C5" s="21">
        <v>43876.831592449002</v>
      </c>
      <c r="D5" s="27">
        <f t="shared" si="0"/>
        <v>2.3326880048376439E-2</v>
      </c>
      <c r="E5" s="22">
        <v>2179337.4443641622</v>
      </c>
      <c r="F5" s="22">
        <v>47607.665081929001</v>
      </c>
      <c r="G5" s="30">
        <f t="shared" si="1"/>
        <v>2.1845017716299042E-2</v>
      </c>
      <c r="H5" s="23">
        <v>2318940.0830993643</v>
      </c>
      <c r="I5" s="23">
        <v>51408.566543527995</v>
      </c>
      <c r="J5" s="31">
        <f t="shared" si="2"/>
        <v>2.2168993031858854E-2</v>
      </c>
      <c r="K5" s="24">
        <v>2962192.9551575398</v>
      </c>
      <c r="L5" s="13">
        <v>53661.960589002003</v>
      </c>
      <c r="M5" s="32">
        <f t="shared" si="3"/>
        <v>1.8115619543139474E-2</v>
      </c>
      <c r="N5" s="25">
        <v>3040336.9115065997</v>
      </c>
      <c r="O5" s="17">
        <v>54390.274395043998</v>
      </c>
      <c r="P5" s="33">
        <f t="shared" si="4"/>
        <v>1.7889554999380511E-2</v>
      </c>
      <c r="Q5" s="77">
        <f t="shared" si="6"/>
        <v>12381763.24855205</v>
      </c>
      <c r="R5" s="39">
        <f t="shared" si="5"/>
        <v>2.0267331329509797E-2</v>
      </c>
      <c r="S5" s="74">
        <v>1</v>
      </c>
    </row>
    <row r="6" spans="1:19">
      <c r="A6" s="20" t="s">
        <v>8</v>
      </c>
      <c r="B6" s="21">
        <v>21056.439393471999</v>
      </c>
      <c r="C6" s="21">
        <v>584.31168655700003</v>
      </c>
      <c r="D6" s="27">
        <f t="shared" si="0"/>
        <v>2.7749785974648243E-2</v>
      </c>
      <c r="E6" s="22">
        <v>23194.35480682</v>
      </c>
      <c r="F6" s="22">
        <v>805.20160936900004</v>
      </c>
      <c r="G6" s="30">
        <f t="shared" si="1"/>
        <v>3.4715413128553203E-2</v>
      </c>
      <c r="H6" s="23">
        <v>24594.322739858999</v>
      </c>
      <c r="I6" s="23">
        <v>763.61595520100002</v>
      </c>
      <c r="J6" s="31">
        <f t="shared" si="2"/>
        <v>3.1048464447587302E-2</v>
      </c>
      <c r="K6" s="24">
        <v>35425.836290086998</v>
      </c>
      <c r="L6" s="13">
        <v>1072.280715221</v>
      </c>
      <c r="M6" s="32">
        <f t="shared" si="3"/>
        <v>3.0268324689375081E-2</v>
      </c>
      <c r="N6" s="25">
        <v>35674.728626188</v>
      </c>
      <c r="O6" s="17">
        <v>1186.66626415</v>
      </c>
      <c r="P6" s="33">
        <f t="shared" si="4"/>
        <v>3.3263497995578178E-2</v>
      </c>
      <c r="Q6" s="76">
        <f t="shared" si="6"/>
        <v>139945.681856426</v>
      </c>
      <c r="R6" s="34">
        <f t="shared" si="5"/>
        <v>3.1527062299960537E-2</v>
      </c>
      <c r="S6" s="35">
        <f t="shared" ref="S6:S36" si="7">R6/R$5*S$5</f>
        <v>1.555560610688604</v>
      </c>
    </row>
    <row r="7" spans="1:19">
      <c r="A7" s="20" t="s">
        <v>9</v>
      </c>
      <c r="B7" s="21">
        <v>178736.14188888899</v>
      </c>
      <c r="C7" s="21">
        <v>4892.9889164279994</v>
      </c>
      <c r="D7" s="27">
        <f t="shared" si="0"/>
        <v>2.7375486931287336E-2</v>
      </c>
      <c r="E7" s="22">
        <v>194975.67066006298</v>
      </c>
      <c r="F7" s="22">
        <v>6001.1010407459999</v>
      </c>
      <c r="G7" s="30">
        <f t="shared" si="1"/>
        <v>3.0778717264723889E-2</v>
      </c>
      <c r="H7" s="23">
        <v>210147.089482585</v>
      </c>
      <c r="I7" s="23">
        <v>11492.497624611</v>
      </c>
      <c r="J7" s="31">
        <f t="shared" si="2"/>
        <v>5.4687874349853366E-2</v>
      </c>
      <c r="K7" s="24">
        <v>271030.91173061903</v>
      </c>
      <c r="L7" s="13">
        <v>14127.401494903001</v>
      </c>
      <c r="M7" s="32">
        <f t="shared" si="3"/>
        <v>5.212468719783668E-2</v>
      </c>
      <c r="N7" s="25">
        <v>271035.18397313199</v>
      </c>
      <c r="O7" s="17">
        <v>15683.094059081999</v>
      </c>
      <c r="P7" s="33">
        <f t="shared" si="4"/>
        <v>5.7863683338753101E-2</v>
      </c>
      <c r="Q7" s="76">
        <f t="shared" si="6"/>
        <v>1125924.997735288</v>
      </c>
      <c r="R7" s="34">
        <f t="shared" si="5"/>
        <v>4.6359289686933348E-2</v>
      </c>
      <c r="S7" s="35">
        <f t="shared" si="7"/>
        <v>2.2873899347287492</v>
      </c>
    </row>
    <row r="8" spans="1:19">
      <c r="A8" s="20" t="s">
        <v>10</v>
      </c>
      <c r="B8" s="21">
        <v>311250.42557532398</v>
      </c>
      <c r="C8" s="21">
        <v>11640.781318545</v>
      </c>
      <c r="D8" s="27">
        <f t="shared" si="0"/>
        <v>3.7400049484359273E-2</v>
      </c>
      <c r="E8" s="22">
        <v>346052.15459304606</v>
      </c>
      <c r="F8" s="22">
        <v>12101.151241620999</v>
      </c>
      <c r="G8" s="30">
        <f t="shared" si="1"/>
        <v>3.4969154449715344E-2</v>
      </c>
      <c r="H8" s="23">
        <v>353849.69892376801</v>
      </c>
      <c r="I8" s="23">
        <v>14047.180807664001</v>
      </c>
      <c r="J8" s="31">
        <f t="shared" si="2"/>
        <v>3.9698156732613954E-2</v>
      </c>
      <c r="K8" s="24">
        <v>385824.58541846398</v>
      </c>
      <c r="L8" s="13">
        <v>13282.998122718</v>
      </c>
      <c r="M8" s="32">
        <f t="shared" si="3"/>
        <v>3.4427557560416495E-2</v>
      </c>
      <c r="N8" s="25">
        <v>386119.47583318199</v>
      </c>
      <c r="O8" s="17">
        <v>13582.300524102</v>
      </c>
      <c r="P8" s="33">
        <f t="shared" si="4"/>
        <v>3.5176419150558622E-2</v>
      </c>
      <c r="Q8" s="76">
        <f t="shared" si="6"/>
        <v>1783096.3403437841</v>
      </c>
      <c r="R8" s="34">
        <f t="shared" si="5"/>
        <v>3.6259629136014326E-2</v>
      </c>
      <c r="S8" s="35">
        <f t="shared" si="7"/>
        <v>1.7890677636092769</v>
      </c>
    </row>
    <row r="9" spans="1:19">
      <c r="A9" s="20" t="s">
        <v>11</v>
      </c>
      <c r="B9" s="21">
        <v>7107.3158588389997</v>
      </c>
      <c r="C9" s="21">
        <v>174.94622890799999</v>
      </c>
      <c r="D9" s="27">
        <f t="shared" si="0"/>
        <v>2.4614950620272271E-2</v>
      </c>
      <c r="E9" s="22">
        <v>8014.3517479450002</v>
      </c>
      <c r="F9" s="22">
        <v>232.47583551900001</v>
      </c>
      <c r="G9" s="30">
        <f t="shared" si="1"/>
        <v>2.9007441004646483E-2</v>
      </c>
      <c r="H9" s="23">
        <v>8658.0277351160003</v>
      </c>
      <c r="I9" s="23">
        <v>234.31403843200002</v>
      </c>
      <c r="J9" s="31">
        <f t="shared" si="2"/>
        <v>2.7063211807655484E-2</v>
      </c>
      <c r="K9" s="24">
        <v>13913.450758846</v>
      </c>
      <c r="L9" s="13">
        <v>369.679786799</v>
      </c>
      <c r="M9" s="32">
        <f t="shared" si="3"/>
        <v>2.6569956886070278E-2</v>
      </c>
      <c r="N9" s="25">
        <v>14032.163909414001</v>
      </c>
      <c r="O9" s="17">
        <v>385.52883334799998</v>
      </c>
      <c r="P9" s="33">
        <f t="shared" si="4"/>
        <v>2.7474652935699645E-2</v>
      </c>
      <c r="Q9" s="76">
        <f t="shared" si="6"/>
        <v>51725.310010159999</v>
      </c>
      <c r="R9" s="34">
        <f t="shared" si="5"/>
        <v>2.7006985994508473E-2</v>
      </c>
      <c r="S9" s="35">
        <f t="shared" si="7"/>
        <v>1.3325378440517992</v>
      </c>
    </row>
    <row r="10" spans="1:19">
      <c r="A10" s="20" t="s">
        <v>12</v>
      </c>
      <c r="B10" s="21">
        <v>17808.742642507001</v>
      </c>
      <c r="C10" s="21">
        <v>478.93012008300002</v>
      </c>
      <c r="D10" s="27">
        <f t="shared" si="0"/>
        <v>2.6892977774852011E-2</v>
      </c>
      <c r="E10" s="22">
        <v>19783.079858058001</v>
      </c>
      <c r="F10" s="22">
        <v>756.64395036600013</v>
      </c>
      <c r="G10" s="30">
        <f t="shared" si="1"/>
        <v>3.8247025023143984E-2</v>
      </c>
      <c r="H10" s="23">
        <v>21829.474059311</v>
      </c>
      <c r="I10" s="23">
        <v>865.22510984199994</v>
      </c>
      <c r="J10" s="31">
        <f t="shared" si="2"/>
        <v>3.9635637005782674E-2</v>
      </c>
      <c r="K10" s="24">
        <v>28775.374617658999</v>
      </c>
      <c r="L10" s="13">
        <v>582.25351236500001</v>
      </c>
      <c r="M10" s="32">
        <f t="shared" si="3"/>
        <v>2.0234437261076703E-2</v>
      </c>
      <c r="N10" s="25">
        <v>29510.536537386</v>
      </c>
      <c r="O10" s="17">
        <v>641.98132700500003</v>
      </c>
      <c r="P10" s="33">
        <f t="shared" si="4"/>
        <v>2.1754308878515084E-2</v>
      </c>
      <c r="Q10" s="76">
        <f t="shared" si="6"/>
        <v>117707.20771492099</v>
      </c>
      <c r="R10" s="34">
        <f t="shared" si="5"/>
        <v>2.8248346759817893E-2</v>
      </c>
      <c r="S10" s="35">
        <f t="shared" si="7"/>
        <v>1.3937871888780697</v>
      </c>
    </row>
    <row r="11" spans="1:19">
      <c r="A11" s="20" t="s">
        <v>13</v>
      </c>
      <c r="B11" s="21">
        <v>13926.385409531</v>
      </c>
      <c r="C11" s="21">
        <v>523.83732288500005</v>
      </c>
      <c r="D11" s="27">
        <f t="shared" si="0"/>
        <v>3.7614736881150364E-2</v>
      </c>
      <c r="E11" s="22">
        <v>15134.704130941</v>
      </c>
      <c r="F11" s="22">
        <v>454.13250551399994</v>
      </c>
      <c r="G11" s="30">
        <f t="shared" si="1"/>
        <v>3.0006037883858142E-2</v>
      </c>
      <c r="H11" s="23">
        <v>15653.493532606</v>
      </c>
      <c r="I11" s="23">
        <v>289.26282651999998</v>
      </c>
      <c r="J11" s="31">
        <f t="shared" si="2"/>
        <v>1.8479122626362587E-2</v>
      </c>
      <c r="K11" s="24">
        <v>12443.228079283999</v>
      </c>
      <c r="L11" s="13">
        <v>444.77674264800004</v>
      </c>
      <c r="M11" s="32">
        <f t="shared" si="3"/>
        <v>3.5744482043890427E-2</v>
      </c>
      <c r="N11" s="25">
        <v>12388.199081723</v>
      </c>
      <c r="O11" s="17">
        <v>473.09236991300003</v>
      </c>
      <c r="P11" s="33">
        <f t="shared" si="4"/>
        <v>3.8188954406696576E-2</v>
      </c>
      <c r="Q11" s="76">
        <f t="shared" si="6"/>
        <v>69546.010234084999</v>
      </c>
      <c r="R11" s="34">
        <f t="shared" si="5"/>
        <v>3.1419512925689966E-2</v>
      </c>
      <c r="S11" s="35">
        <f t="shared" si="7"/>
        <v>1.5502540721748739</v>
      </c>
    </row>
    <row r="12" spans="1:19">
      <c r="A12" s="20" t="s">
        <v>14</v>
      </c>
      <c r="B12" s="21">
        <v>157290.76077422799</v>
      </c>
      <c r="C12" s="21">
        <v>4263.7496976920002</v>
      </c>
      <c r="D12" s="27">
        <f t="shared" si="0"/>
        <v>2.7107438966565246E-2</v>
      </c>
      <c r="E12" s="22">
        <v>163672.34175385101</v>
      </c>
      <c r="F12" s="22">
        <v>4299.365899038</v>
      </c>
      <c r="G12" s="30">
        <f t="shared" si="1"/>
        <v>2.6268127241094119E-2</v>
      </c>
      <c r="H12" s="23">
        <v>169419.73425340001</v>
      </c>
      <c r="I12" s="23">
        <v>5820.6014769160001</v>
      </c>
      <c r="J12" s="31">
        <f t="shared" si="2"/>
        <v>3.4356100855465657E-2</v>
      </c>
      <c r="K12" s="24">
        <v>179649.07019392401</v>
      </c>
      <c r="L12" s="13">
        <v>3393.5554471830001</v>
      </c>
      <c r="M12" s="32">
        <f t="shared" si="3"/>
        <v>1.8889913783131703E-2</v>
      </c>
      <c r="N12" s="25">
        <v>182204.11035107699</v>
      </c>
      <c r="O12" s="17">
        <v>3787.3641460890003</v>
      </c>
      <c r="P12" s="33">
        <f t="shared" si="4"/>
        <v>2.0786381486078333E-2</v>
      </c>
      <c r="Q12" s="76">
        <f t="shared" si="6"/>
        <v>852236.01732648001</v>
      </c>
      <c r="R12" s="34">
        <f t="shared" si="5"/>
        <v>2.5303596924438457E-2</v>
      </c>
      <c r="S12" s="35">
        <f t="shared" si="7"/>
        <v>1.2484917976149981</v>
      </c>
    </row>
    <row r="13" spans="1:19">
      <c r="A13" s="20" t="s">
        <v>15</v>
      </c>
      <c r="B13" s="21">
        <v>25290.730054267002</v>
      </c>
      <c r="C13" s="21">
        <v>940.30036201400003</v>
      </c>
      <c r="D13" s="27">
        <f t="shared" si="0"/>
        <v>3.7179644873689771E-2</v>
      </c>
      <c r="E13" s="22">
        <v>26149.179067104</v>
      </c>
      <c r="F13" s="22">
        <v>909.27966603100003</v>
      </c>
      <c r="G13" s="30">
        <f t="shared" si="1"/>
        <v>3.4772780579367613E-2</v>
      </c>
      <c r="H13" s="23">
        <v>27589.682980268</v>
      </c>
      <c r="I13" s="23">
        <v>928.91298729799996</v>
      </c>
      <c r="J13" s="31">
        <f t="shared" si="2"/>
        <v>3.3668853243524172E-2</v>
      </c>
      <c r="K13" s="24">
        <v>37806.221807566995</v>
      </c>
      <c r="L13" s="13">
        <v>964.8761183659999</v>
      </c>
      <c r="M13" s="32">
        <f t="shared" si="3"/>
        <v>2.552162242704924E-2</v>
      </c>
      <c r="N13" s="25">
        <v>37797.184404756998</v>
      </c>
      <c r="O13" s="17">
        <v>1261.7278944909999</v>
      </c>
      <c r="P13" s="33">
        <f t="shared" si="4"/>
        <v>3.3381531306130939E-2</v>
      </c>
      <c r="Q13" s="76">
        <f t="shared" si="6"/>
        <v>154632.99831396301</v>
      </c>
      <c r="R13" s="34">
        <f t="shared" si="5"/>
        <v>3.2367587014239842E-2</v>
      </c>
      <c r="S13" s="35">
        <f t="shared" si="7"/>
        <v>1.5970325095101068</v>
      </c>
    </row>
    <row r="14" spans="1:19">
      <c r="A14" s="20" t="s">
        <v>16</v>
      </c>
      <c r="B14" s="21">
        <v>34697.599372830999</v>
      </c>
      <c r="C14" s="21">
        <v>1276.265651659</v>
      </c>
      <c r="D14" s="27">
        <f t="shared" si="0"/>
        <v>3.6782534663142859E-2</v>
      </c>
      <c r="E14" s="22">
        <v>36944.652021212998</v>
      </c>
      <c r="F14" s="22">
        <v>1329.85389448</v>
      </c>
      <c r="G14" s="30">
        <f t="shared" si="1"/>
        <v>3.5995843017182033E-2</v>
      </c>
      <c r="H14" s="23">
        <v>39322.031386960996</v>
      </c>
      <c r="I14" s="23">
        <v>1301.244048987</v>
      </c>
      <c r="J14" s="31">
        <f t="shared" si="2"/>
        <v>3.3091984393728104E-2</v>
      </c>
      <c r="K14" s="24">
        <v>57311.136479763998</v>
      </c>
      <c r="L14" s="13">
        <v>1340.190361942</v>
      </c>
      <c r="M14" s="32">
        <f t="shared" si="3"/>
        <v>2.3384466689387814E-2</v>
      </c>
      <c r="N14" s="25">
        <v>57841.113930120002</v>
      </c>
      <c r="O14" s="17">
        <v>1519.6109131159999</v>
      </c>
      <c r="P14" s="33">
        <f t="shared" si="4"/>
        <v>2.6272158502201364E-2</v>
      </c>
      <c r="Q14" s="76">
        <f t="shared" si="6"/>
        <v>226116.53319088899</v>
      </c>
      <c r="R14" s="34">
        <f t="shared" si="5"/>
        <v>2.9927775623868762E-2</v>
      </c>
      <c r="S14" s="35">
        <f t="shared" si="7"/>
        <v>1.4766510270788877</v>
      </c>
    </row>
    <row r="15" spans="1:19">
      <c r="A15" s="20" t="s">
        <v>17</v>
      </c>
      <c r="B15" s="21">
        <v>46191.847849290003</v>
      </c>
      <c r="C15" s="21">
        <v>1903.584106608</v>
      </c>
      <c r="D15" s="27">
        <f t="shared" si="0"/>
        <v>4.1210390907478259E-2</v>
      </c>
      <c r="E15" s="22">
        <v>48923.320759071001</v>
      </c>
      <c r="F15" s="22">
        <v>2257.416623392</v>
      </c>
      <c r="G15" s="30">
        <f t="shared" si="1"/>
        <v>4.6141933711101292E-2</v>
      </c>
      <c r="H15" s="23">
        <v>47859.272926653</v>
      </c>
      <c r="I15" s="23">
        <v>1900.6651526640001</v>
      </c>
      <c r="J15" s="31">
        <f t="shared" si="2"/>
        <v>3.9713623639391162E-2</v>
      </c>
      <c r="K15" s="24">
        <v>59029.897661112002</v>
      </c>
      <c r="L15" s="13">
        <v>2790.5720036880002</v>
      </c>
      <c r="M15" s="32">
        <f t="shared" si="3"/>
        <v>4.7273875006671177E-2</v>
      </c>
      <c r="N15" s="25">
        <v>58823.708349298002</v>
      </c>
      <c r="O15" s="17">
        <v>2914.900743446</v>
      </c>
      <c r="P15" s="33">
        <f t="shared" si="4"/>
        <v>4.9553161900932521E-2</v>
      </c>
      <c r="Q15" s="76">
        <f t="shared" si="6"/>
        <v>260828.04754542402</v>
      </c>
      <c r="R15" s="34">
        <f t="shared" si="5"/>
        <v>4.5114544775897672E-2</v>
      </c>
      <c r="S15" s="35">
        <f t="shared" si="7"/>
        <v>2.2259736145039302</v>
      </c>
    </row>
    <row r="16" spans="1:19">
      <c r="A16" s="20" t="s">
        <v>18</v>
      </c>
      <c r="B16" s="21">
        <v>5833.0963086080001</v>
      </c>
      <c r="C16" s="21">
        <v>584.86640015300009</v>
      </c>
      <c r="D16" s="27">
        <f t="shared" si="0"/>
        <v>0.10026688558011682</v>
      </c>
      <c r="E16" s="22">
        <v>6878.0614024529996</v>
      </c>
      <c r="F16" s="22">
        <v>118.55956684099999</v>
      </c>
      <c r="G16" s="30">
        <f t="shared" si="1"/>
        <v>1.7237352199082838E-2</v>
      </c>
      <c r="H16" s="23">
        <v>7766.9320520950005</v>
      </c>
      <c r="I16" s="23">
        <v>404.00453553799997</v>
      </c>
      <c r="J16" s="31">
        <f t="shared" si="2"/>
        <v>5.2015973981519061E-2</v>
      </c>
      <c r="K16" s="24">
        <v>8326.3161533050006</v>
      </c>
      <c r="L16" s="13">
        <v>183.80742966399998</v>
      </c>
      <c r="M16" s="32">
        <f t="shared" si="3"/>
        <v>2.2075480474163897E-2</v>
      </c>
      <c r="N16" s="25">
        <v>7991.4234312489998</v>
      </c>
      <c r="O16" s="17">
        <v>208.27058841600001</v>
      </c>
      <c r="P16" s="33">
        <f t="shared" si="4"/>
        <v>2.6061763615427506E-2</v>
      </c>
      <c r="Q16" s="76">
        <f t="shared" si="6"/>
        <v>36795.829347710001</v>
      </c>
      <c r="R16" s="34">
        <f t="shared" si="5"/>
        <v>4.07521327061846E-2</v>
      </c>
      <c r="S16" s="35">
        <f t="shared" si="7"/>
        <v>2.0107300780566191</v>
      </c>
    </row>
    <row r="17" spans="1:19">
      <c r="A17" s="20" t="s">
        <v>19</v>
      </c>
      <c r="B17" s="21">
        <v>20585.288568912998</v>
      </c>
      <c r="C17" s="21">
        <v>926.85822884999993</v>
      </c>
      <c r="D17" s="27">
        <f t="shared" si="0"/>
        <v>4.502527257498351E-2</v>
      </c>
      <c r="E17" s="22">
        <v>21095.342076025998</v>
      </c>
      <c r="F17" s="22">
        <v>671.36908060099995</v>
      </c>
      <c r="G17" s="30">
        <f t="shared" si="1"/>
        <v>3.1825465459694238E-2</v>
      </c>
      <c r="H17" s="23">
        <v>21455.178747477999</v>
      </c>
      <c r="I17" s="23">
        <v>1291.0146440190001</v>
      </c>
      <c r="J17" s="31">
        <f t="shared" si="2"/>
        <v>6.0172635204484397E-2</v>
      </c>
      <c r="K17" s="24">
        <v>28865.455258756003</v>
      </c>
      <c r="L17" s="13">
        <v>1521.209948335</v>
      </c>
      <c r="M17" s="32">
        <f t="shared" si="3"/>
        <v>5.2700015804308456E-2</v>
      </c>
      <c r="N17" s="25">
        <v>28171.58842796</v>
      </c>
      <c r="O17" s="17">
        <v>1522.0814875589999</v>
      </c>
      <c r="P17" s="33">
        <f t="shared" si="4"/>
        <v>5.4028955145757784E-2</v>
      </c>
      <c r="Q17" s="76">
        <f t="shared" si="6"/>
        <v>120172.853079133</v>
      </c>
      <c r="R17" s="34">
        <f t="shared" si="5"/>
        <v>4.9366668406029005E-2</v>
      </c>
      <c r="S17" s="35">
        <f t="shared" si="7"/>
        <v>2.4357754656208619</v>
      </c>
    </row>
    <row r="18" spans="1:19">
      <c r="A18" s="20" t="s">
        <v>20</v>
      </c>
      <c r="B18" s="21">
        <v>34922.987995675998</v>
      </c>
      <c r="C18" s="21">
        <v>835.42339235999998</v>
      </c>
      <c r="D18" s="27">
        <f t="shared" si="0"/>
        <v>2.3921876113906355E-2</v>
      </c>
      <c r="E18" s="22">
        <v>35821.705444635998</v>
      </c>
      <c r="F18" s="22">
        <v>1054.074470708</v>
      </c>
      <c r="G18" s="30">
        <f t="shared" si="1"/>
        <v>2.9425580318533911E-2</v>
      </c>
      <c r="H18" s="23">
        <v>34945.416963263997</v>
      </c>
      <c r="I18" s="23">
        <v>1343.3801345229999</v>
      </c>
      <c r="J18" s="31">
        <f t="shared" si="2"/>
        <v>3.8442240821885576E-2</v>
      </c>
      <c r="K18" s="24">
        <v>40512.744628332999</v>
      </c>
      <c r="L18" s="13">
        <v>1278.5675726129998</v>
      </c>
      <c r="M18" s="32">
        <f t="shared" si="3"/>
        <v>3.1559638438290863E-2</v>
      </c>
      <c r="N18" s="25">
        <v>41202.549271661002</v>
      </c>
      <c r="O18" s="17">
        <v>1344.7949645399999</v>
      </c>
      <c r="P18" s="33">
        <f t="shared" si="4"/>
        <v>3.263863494642906E-2</v>
      </c>
      <c r="Q18" s="76">
        <f t="shared" si="6"/>
        <v>187405.40430356999</v>
      </c>
      <c r="R18" s="34">
        <f t="shared" si="5"/>
        <v>3.1249048321241188E-2</v>
      </c>
      <c r="S18" s="35">
        <f t="shared" si="7"/>
        <v>1.5418432655581895</v>
      </c>
    </row>
    <row r="19" spans="1:19">
      <c r="A19" s="20" t="s">
        <v>21</v>
      </c>
      <c r="B19" s="21">
        <v>29899.567151126001</v>
      </c>
      <c r="C19" s="21">
        <v>976.41410199400002</v>
      </c>
      <c r="D19" s="27">
        <f t="shared" si="0"/>
        <v>3.2656462786192171E-2</v>
      </c>
      <c r="E19" s="22">
        <v>30765.661178206999</v>
      </c>
      <c r="F19" s="22">
        <v>990.79040381799996</v>
      </c>
      <c r="G19" s="30">
        <f t="shared" si="1"/>
        <v>3.2204424214352038E-2</v>
      </c>
      <c r="H19" s="23">
        <v>31637.617872326999</v>
      </c>
      <c r="I19" s="23">
        <v>870.907478438</v>
      </c>
      <c r="J19" s="31">
        <f t="shared" si="2"/>
        <v>2.752759332110687E-2</v>
      </c>
      <c r="K19" s="24">
        <v>37635.524856885997</v>
      </c>
      <c r="L19" s="13">
        <v>910.63740490499993</v>
      </c>
      <c r="M19" s="32">
        <f t="shared" si="3"/>
        <v>2.4196219087360086E-2</v>
      </c>
      <c r="N19" s="25">
        <v>38386.594621258999</v>
      </c>
      <c r="O19" s="17">
        <v>1037.0787644310001</v>
      </c>
      <c r="P19" s="33">
        <f t="shared" si="4"/>
        <v>2.701669097411033E-2</v>
      </c>
      <c r="Q19" s="76">
        <f t="shared" si="6"/>
        <v>168324.965679805</v>
      </c>
      <c r="R19" s="34">
        <f t="shared" si="5"/>
        <v>2.8432075623825222E-2</v>
      </c>
      <c r="S19" s="35">
        <f t="shared" si="7"/>
        <v>1.4028524605223842</v>
      </c>
    </row>
    <row r="20" spans="1:19">
      <c r="A20" s="20" t="s">
        <v>22</v>
      </c>
      <c r="B20" s="21">
        <v>29103.476974674999</v>
      </c>
      <c r="C20" s="21">
        <v>700.94804098299994</v>
      </c>
      <c r="D20" s="27">
        <f t="shared" si="0"/>
        <v>2.4084683819494988E-2</v>
      </c>
      <c r="E20" s="22">
        <v>28052.486983610001</v>
      </c>
      <c r="F20" s="22">
        <v>708.78984740199996</v>
      </c>
      <c r="G20" s="30">
        <f t="shared" si="1"/>
        <v>2.5266560067067095E-2</v>
      </c>
      <c r="H20" s="23">
        <v>30854.141298570001</v>
      </c>
      <c r="I20" s="23">
        <v>689.03390041900002</v>
      </c>
      <c r="J20" s="31">
        <f t="shared" si="2"/>
        <v>2.233197462056527E-2</v>
      </c>
      <c r="K20" s="24">
        <v>41125.099245256002</v>
      </c>
      <c r="L20" s="13">
        <v>905.32477776100006</v>
      </c>
      <c r="M20" s="32">
        <f t="shared" si="3"/>
        <v>2.2013923233642631E-2</v>
      </c>
      <c r="N20" s="25">
        <v>41725.751414180995</v>
      </c>
      <c r="O20" s="17">
        <v>974.06962288799991</v>
      </c>
      <c r="P20" s="33">
        <f t="shared" si="4"/>
        <v>2.3344567560188999E-2</v>
      </c>
      <c r="Q20" s="76">
        <f t="shared" si="6"/>
        <v>170860.95591629198</v>
      </c>
      <c r="R20" s="34">
        <f t="shared" si="5"/>
        <v>2.3283061762817123E-2</v>
      </c>
      <c r="S20" s="35">
        <f t="shared" si="7"/>
        <v>1.14879760853943</v>
      </c>
    </row>
    <row r="21" spans="1:19">
      <c r="A21" s="20" t="s">
        <v>23</v>
      </c>
      <c r="B21" s="21">
        <v>44709.276767773998</v>
      </c>
      <c r="C21" s="21">
        <v>3808.9593308740004</v>
      </c>
      <c r="D21" s="27">
        <f t="shared" si="0"/>
        <v>8.5193937505593037E-2</v>
      </c>
      <c r="E21" s="22">
        <v>45632.879548965997</v>
      </c>
      <c r="F21" s="22">
        <v>2973.3322423290001</v>
      </c>
      <c r="G21" s="30">
        <f t="shared" si="1"/>
        <v>6.5157672969957767E-2</v>
      </c>
      <c r="H21" s="23">
        <v>45724.378641862</v>
      </c>
      <c r="I21" s="23">
        <v>2386.8263847210001</v>
      </c>
      <c r="J21" s="31">
        <f t="shared" si="2"/>
        <v>5.2200302237366894E-2</v>
      </c>
      <c r="K21" s="24">
        <v>66843.247434745994</v>
      </c>
      <c r="L21" s="13">
        <v>1341.5527034270001</v>
      </c>
      <c r="M21" s="32">
        <f t="shared" si="3"/>
        <v>2.0070130565344787E-2</v>
      </c>
      <c r="N21" s="25">
        <v>62942.469554088006</v>
      </c>
      <c r="O21" s="17">
        <v>1420.2868838569998</v>
      </c>
      <c r="P21" s="33">
        <f t="shared" si="4"/>
        <v>2.2564842052098265E-2</v>
      </c>
      <c r="Q21" s="76">
        <f t="shared" si="6"/>
        <v>265852.25194743602</v>
      </c>
      <c r="R21" s="34">
        <f t="shared" si="5"/>
        <v>4.4878151145272133E-2</v>
      </c>
      <c r="S21" s="35">
        <f t="shared" si="7"/>
        <v>2.214309837621705</v>
      </c>
    </row>
    <row r="22" spans="1:19">
      <c r="A22" s="20" t="s">
        <v>24</v>
      </c>
      <c r="B22" s="21">
        <v>13578.672986330999</v>
      </c>
      <c r="C22" s="21">
        <v>187.465317825</v>
      </c>
      <c r="D22" s="27">
        <f t="shared" si="0"/>
        <v>1.3805864388494543E-2</v>
      </c>
      <c r="E22" s="22">
        <v>14592.320079895</v>
      </c>
      <c r="F22" s="22">
        <v>170.04330823699999</v>
      </c>
      <c r="G22" s="30">
        <f t="shared" si="1"/>
        <v>1.1652931631569828E-2</v>
      </c>
      <c r="H22" s="23">
        <v>17322.604279603998</v>
      </c>
      <c r="I22" s="23">
        <v>211.63707966699999</v>
      </c>
      <c r="J22" s="31">
        <f t="shared" si="2"/>
        <v>1.2217393888988504E-2</v>
      </c>
      <c r="K22" s="24">
        <v>29032.283339649002</v>
      </c>
      <c r="L22" s="13">
        <v>414.48981622700001</v>
      </c>
      <c r="M22" s="32">
        <f t="shared" si="3"/>
        <v>1.4276859018558033E-2</v>
      </c>
      <c r="N22" s="25">
        <v>27767.38734505</v>
      </c>
      <c r="O22" s="17">
        <v>539.19584278399998</v>
      </c>
      <c r="P22" s="33">
        <f t="shared" si="4"/>
        <v>1.941831386884588E-2</v>
      </c>
      <c r="Q22" s="76">
        <f t="shared" si="6"/>
        <v>102293.268030529</v>
      </c>
      <c r="R22" s="34">
        <f t="shared" si="5"/>
        <v>1.4886916744956446E-2</v>
      </c>
      <c r="S22" s="35">
        <f t="shared" si="7"/>
        <v>0.7345277236022032</v>
      </c>
    </row>
    <row r="23" spans="1:19">
      <c r="A23" s="20" t="s">
        <v>25</v>
      </c>
      <c r="B23" s="21">
        <v>10325.876812913</v>
      </c>
      <c r="C23" s="21">
        <v>499.53948212100005</v>
      </c>
      <c r="D23" s="27">
        <f t="shared" si="0"/>
        <v>4.8377439627819513E-2</v>
      </c>
      <c r="E23" s="22">
        <v>11508.243108568</v>
      </c>
      <c r="F23" s="22">
        <v>388.43631947400002</v>
      </c>
      <c r="G23" s="30">
        <f t="shared" si="1"/>
        <v>3.3752877464398139E-2</v>
      </c>
      <c r="H23" s="23">
        <v>12244.435899078</v>
      </c>
      <c r="I23" s="23">
        <v>425.04752746299999</v>
      </c>
      <c r="J23" s="31">
        <f t="shared" si="2"/>
        <v>3.4713524654492726E-2</v>
      </c>
      <c r="K23" s="24">
        <v>26018.927369015</v>
      </c>
      <c r="L23" s="13">
        <v>605.16964089700002</v>
      </c>
      <c r="M23" s="32">
        <f t="shared" si="3"/>
        <v>2.3258823560024025E-2</v>
      </c>
      <c r="N23" s="25">
        <v>29867.307186008002</v>
      </c>
      <c r="O23" s="17">
        <v>611.63989258499998</v>
      </c>
      <c r="P23" s="33">
        <f t="shared" si="4"/>
        <v>2.0478575077954673E-2</v>
      </c>
      <c r="Q23" s="76">
        <f t="shared" si="6"/>
        <v>89964.790375582001</v>
      </c>
      <c r="R23" s="34">
        <f t="shared" si="5"/>
        <v>2.8120255179593465E-2</v>
      </c>
      <c r="S23" s="35">
        <f t="shared" si="7"/>
        <v>1.3874670879164832</v>
      </c>
    </row>
    <row r="24" spans="1:19">
      <c r="A24" s="20" t="s">
        <v>26</v>
      </c>
      <c r="B24" s="21">
        <v>64415.829403711003</v>
      </c>
      <c r="C24" s="21">
        <v>3072.8136358279999</v>
      </c>
      <c r="D24" s="27">
        <f t="shared" si="0"/>
        <v>4.7702772195478006E-2</v>
      </c>
      <c r="E24" s="22">
        <v>65784.020811283001</v>
      </c>
      <c r="F24" s="22">
        <v>3150.4051878329997</v>
      </c>
      <c r="G24" s="30">
        <f t="shared" si="1"/>
        <v>4.7890128164568731E-2</v>
      </c>
      <c r="H24" s="23">
        <v>65679.226964122005</v>
      </c>
      <c r="I24" s="23">
        <v>3339.522762133</v>
      </c>
      <c r="J24" s="31">
        <f t="shared" si="2"/>
        <v>5.0845951094358202E-2</v>
      </c>
      <c r="K24" s="24">
        <v>88753.191569689996</v>
      </c>
      <c r="L24" s="13">
        <v>3312.598430729</v>
      </c>
      <c r="M24" s="32">
        <f t="shared" si="3"/>
        <v>3.7323710529642312E-2</v>
      </c>
      <c r="N24" s="25">
        <v>88844.523891340999</v>
      </c>
      <c r="O24" s="17">
        <v>3598.1359068349998</v>
      </c>
      <c r="P24" s="33">
        <f t="shared" si="4"/>
        <v>4.0499242375766534E-2</v>
      </c>
      <c r="Q24" s="76">
        <f t="shared" si="6"/>
        <v>373476.79264014703</v>
      </c>
      <c r="R24" s="34">
        <f t="shared" si="5"/>
        <v>4.4108432566600062E-2</v>
      </c>
      <c r="S24" s="35">
        <f t="shared" si="7"/>
        <v>2.1763315480206789</v>
      </c>
    </row>
    <row r="25" spans="1:19">
      <c r="A25" s="20" t="s">
        <v>27</v>
      </c>
      <c r="B25" s="21">
        <v>13395.386883306999</v>
      </c>
      <c r="C25" s="21">
        <v>672.29119949300002</v>
      </c>
      <c r="D25" s="27">
        <f t="shared" si="0"/>
        <v>5.0188262970649454E-2</v>
      </c>
      <c r="E25" s="22">
        <v>14820.179499471</v>
      </c>
      <c r="F25" s="22">
        <v>564.32782524799995</v>
      </c>
      <c r="G25" s="30">
        <f t="shared" si="1"/>
        <v>3.8078339420122641E-2</v>
      </c>
      <c r="H25" s="23">
        <v>15668.22704193</v>
      </c>
      <c r="I25" s="23">
        <v>679.56773419499996</v>
      </c>
      <c r="J25" s="31">
        <f t="shared" si="2"/>
        <v>4.3372344067800238E-2</v>
      </c>
      <c r="K25" s="24">
        <v>21056.917444416998</v>
      </c>
      <c r="L25" s="13">
        <v>701.64764845000002</v>
      </c>
      <c r="M25" s="32">
        <f t="shared" si="3"/>
        <v>3.3321479760848559E-2</v>
      </c>
      <c r="N25" s="25">
        <v>21024.580437703</v>
      </c>
      <c r="O25" s="17">
        <v>672.97051075299999</v>
      </c>
      <c r="P25" s="33">
        <f t="shared" si="4"/>
        <v>3.2008748652418963E-2</v>
      </c>
      <c r="Q25" s="76">
        <f t="shared" si="6"/>
        <v>85965.291306828003</v>
      </c>
      <c r="R25" s="34">
        <f t="shared" si="5"/>
        <v>3.8280623122574346E-2</v>
      </c>
      <c r="S25" s="35">
        <f t="shared" si="7"/>
        <v>1.888784591330813</v>
      </c>
    </row>
    <row r="26" spans="1:19">
      <c r="A26" s="20" t="s">
        <v>28</v>
      </c>
      <c r="B26" s="21">
        <v>4576.9633102500002</v>
      </c>
      <c r="C26" s="21">
        <v>269.39927667899997</v>
      </c>
      <c r="D26" s="27">
        <f t="shared" si="0"/>
        <v>5.8859828759318805E-2</v>
      </c>
      <c r="E26" s="22">
        <v>4991.3842691549999</v>
      </c>
      <c r="F26" s="22">
        <v>268.67173512099998</v>
      </c>
      <c r="G26" s="30">
        <f t="shared" si="1"/>
        <v>5.3827098983601974E-2</v>
      </c>
      <c r="H26" s="23">
        <v>5730.8993911340003</v>
      </c>
      <c r="I26" s="23">
        <v>283.32679451500002</v>
      </c>
      <c r="J26" s="31">
        <f t="shared" si="2"/>
        <v>4.943845200865353E-2</v>
      </c>
      <c r="K26" s="24">
        <v>7733.3743798320011</v>
      </c>
      <c r="L26" s="13">
        <v>808.10016935900001</v>
      </c>
      <c r="M26" s="32">
        <f t="shared" si="3"/>
        <v>0.10449515692224318</v>
      </c>
      <c r="N26" s="25">
        <v>7620.5718708589993</v>
      </c>
      <c r="O26" s="17">
        <v>754.16357157200002</v>
      </c>
      <c r="P26" s="33">
        <f t="shared" si="4"/>
        <v>9.8964170189892828E-2</v>
      </c>
      <c r="Q26" s="76">
        <f t="shared" si="6"/>
        <v>30653.193221230002</v>
      </c>
      <c r="R26" s="34">
        <f t="shared" si="5"/>
        <v>7.7762258895595487E-2</v>
      </c>
      <c r="S26" s="35">
        <f t="shared" si="7"/>
        <v>3.8368277318470381</v>
      </c>
    </row>
    <row r="27" spans="1:19">
      <c r="A27" s="20" t="s">
        <v>29</v>
      </c>
      <c r="B27" s="21">
        <v>2727.6398844810001</v>
      </c>
      <c r="C27" s="21">
        <v>67.202298256000006</v>
      </c>
      <c r="D27" s="27">
        <f t="shared" si="0"/>
        <v>2.4637525883951825E-2</v>
      </c>
      <c r="E27" s="22">
        <v>3125.2596912609997</v>
      </c>
      <c r="F27" s="22">
        <v>93.831006954000003</v>
      </c>
      <c r="G27" s="30">
        <f t="shared" si="1"/>
        <v>3.002342724234237E-2</v>
      </c>
      <c r="H27" s="23">
        <v>3542.3951017740001</v>
      </c>
      <c r="I27" s="23">
        <v>93.88546664399999</v>
      </c>
      <c r="J27" s="31">
        <f t="shared" si="2"/>
        <v>2.6503386535562615E-2</v>
      </c>
      <c r="K27" s="24">
        <v>5818.4927297559998</v>
      </c>
      <c r="L27" s="13">
        <v>214.65530434499999</v>
      </c>
      <c r="M27" s="32">
        <f t="shared" si="3"/>
        <v>3.6891909007163375E-2</v>
      </c>
      <c r="N27" s="25">
        <v>5830.4965167210003</v>
      </c>
      <c r="O27" s="17">
        <v>243.714789489</v>
      </c>
      <c r="P27" s="33">
        <f t="shared" si="4"/>
        <v>4.1800006018366032E-2</v>
      </c>
      <c r="Q27" s="76">
        <f t="shared" si="6"/>
        <v>21044.283923993</v>
      </c>
      <c r="R27" s="34">
        <f t="shared" si="5"/>
        <v>3.3894660814510556E-2</v>
      </c>
      <c r="S27" s="35">
        <f t="shared" si="7"/>
        <v>1.672379074651974</v>
      </c>
    </row>
    <row r="28" spans="1:19">
      <c r="A28" s="20" t="s">
        <v>30</v>
      </c>
      <c r="B28" s="21">
        <v>7459.008166519</v>
      </c>
      <c r="C28" s="21">
        <v>419.23563393199998</v>
      </c>
      <c r="D28" s="27">
        <f t="shared" si="0"/>
        <v>5.6205278848441127E-2</v>
      </c>
      <c r="E28" s="22">
        <v>8378.854467485</v>
      </c>
      <c r="F28" s="22">
        <v>366.68904234900003</v>
      </c>
      <c r="G28" s="30">
        <f t="shared" si="1"/>
        <v>4.3763624702156396E-2</v>
      </c>
      <c r="H28" s="23">
        <v>9290.3132744649993</v>
      </c>
      <c r="I28" s="23">
        <v>443.804957597</v>
      </c>
      <c r="J28" s="31">
        <f t="shared" si="2"/>
        <v>4.777072037138138E-2</v>
      </c>
      <c r="K28" s="24">
        <v>15218.522806531</v>
      </c>
      <c r="L28" s="13">
        <v>417.14289323600002</v>
      </c>
      <c r="M28" s="32">
        <f t="shared" si="3"/>
        <v>2.7410209160181036E-2</v>
      </c>
      <c r="N28" s="25">
        <v>15629.474684731998</v>
      </c>
      <c r="O28" s="17">
        <v>470.12257474800003</v>
      </c>
      <c r="P28" s="33">
        <f t="shared" si="4"/>
        <v>3.0079230699112988E-2</v>
      </c>
      <c r="Q28" s="76">
        <f t="shared" si="6"/>
        <v>55976.173399731997</v>
      </c>
      <c r="R28" s="34">
        <f t="shared" si="5"/>
        <v>3.7819575245780127E-2</v>
      </c>
      <c r="S28" s="35">
        <f t="shared" si="7"/>
        <v>1.866036264513709</v>
      </c>
    </row>
    <row r="29" spans="1:19">
      <c r="A29" s="20" t="s">
        <v>31</v>
      </c>
      <c r="B29" s="21">
        <v>18249.561899875</v>
      </c>
      <c r="C29" s="21">
        <v>309.82215754499998</v>
      </c>
      <c r="D29" s="27">
        <f t="shared" si="0"/>
        <v>1.6976964118087794E-2</v>
      </c>
      <c r="E29" s="22">
        <v>19214.031925192001</v>
      </c>
      <c r="F29" s="22">
        <v>306.84513490199998</v>
      </c>
      <c r="G29" s="30">
        <f t="shared" si="1"/>
        <v>1.5969846209097197E-2</v>
      </c>
      <c r="H29" s="23">
        <v>24048.629027707</v>
      </c>
      <c r="I29" s="23">
        <v>311.56831891900003</v>
      </c>
      <c r="J29" s="31">
        <f t="shared" si="2"/>
        <v>1.2955762200000455E-2</v>
      </c>
      <c r="K29" s="24">
        <v>34887.085088078005</v>
      </c>
      <c r="L29" s="13">
        <v>503.66748242900002</v>
      </c>
      <c r="M29" s="32">
        <f t="shared" si="3"/>
        <v>1.4437075529738618E-2</v>
      </c>
      <c r="N29" s="25">
        <v>37685.286941226004</v>
      </c>
      <c r="O29" s="17">
        <v>676.89568570100005</v>
      </c>
      <c r="P29" s="33">
        <f t="shared" si="4"/>
        <v>1.7961802619592283E-2</v>
      </c>
      <c r="Q29" s="76">
        <f t="shared" si="6"/>
        <v>134084.594882078</v>
      </c>
      <c r="R29" s="34">
        <f t="shared" si="5"/>
        <v>1.5727375552356357E-2</v>
      </c>
      <c r="S29" s="35">
        <f t="shared" si="7"/>
        <v>0.77599637054617354</v>
      </c>
    </row>
    <row r="30" spans="1:19">
      <c r="A30" s="20" t="s">
        <v>32</v>
      </c>
      <c r="B30" s="21">
        <v>42944.60171707</v>
      </c>
      <c r="C30" s="21">
        <v>1805.046753656</v>
      </c>
      <c r="D30" s="27">
        <f t="shared" si="0"/>
        <v>4.2031982635398715E-2</v>
      </c>
      <c r="E30" s="22">
        <v>45453.635972584998</v>
      </c>
      <c r="F30" s="22">
        <v>1535.5209509900001</v>
      </c>
      <c r="G30" s="30">
        <f t="shared" si="1"/>
        <v>3.378213685514922E-2</v>
      </c>
      <c r="H30" s="23">
        <v>49545.653420912</v>
      </c>
      <c r="I30" s="23">
        <v>1874.7751747329999</v>
      </c>
      <c r="J30" s="31">
        <f t="shared" si="2"/>
        <v>3.7839347052423845E-2</v>
      </c>
      <c r="K30" s="24">
        <v>60483.418938321993</v>
      </c>
      <c r="L30" s="13">
        <v>1026.6350773460001</v>
      </c>
      <c r="M30" s="32">
        <f t="shared" si="3"/>
        <v>1.6973826800249371E-2</v>
      </c>
      <c r="N30" s="25">
        <v>61118.812582184997</v>
      </c>
      <c r="O30" s="17">
        <v>1048.1628826619999</v>
      </c>
      <c r="P30" s="33">
        <f t="shared" si="4"/>
        <v>1.7149594999944746E-2</v>
      </c>
      <c r="Q30" s="76">
        <f t="shared" si="6"/>
        <v>259546.12263107399</v>
      </c>
      <c r="R30" s="34">
        <f t="shared" si="5"/>
        <v>2.808803601257957E-2</v>
      </c>
      <c r="S30" s="35">
        <f t="shared" si="7"/>
        <v>1.3858773785220855</v>
      </c>
    </row>
    <row r="31" spans="1:19">
      <c r="A31" s="20" t="s">
        <v>33</v>
      </c>
      <c r="B31" s="21">
        <v>9897.3664730319997</v>
      </c>
      <c r="C31" s="21">
        <v>431.58344079300002</v>
      </c>
      <c r="D31" s="27">
        <f t="shared" si="0"/>
        <v>4.3605886673890835E-2</v>
      </c>
      <c r="E31" s="22">
        <v>11233.296607871</v>
      </c>
      <c r="F31" s="22">
        <v>449.99261844</v>
      </c>
      <c r="G31" s="30">
        <f t="shared" si="1"/>
        <v>4.005882103430769E-2</v>
      </c>
      <c r="H31" s="23">
        <v>12891.534858532999</v>
      </c>
      <c r="I31" s="23">
        <v>507.56456856699998</v>
      </c>
      <c r="J31" s="31">
        <f t="shared" si="2"/>
        <v>3.9371926937857162E-2</v>
      </c>
      <c r="K31" s="24">
        <v>19385.531753052001</v>
      </c>
      <c r="L31" s="13">
        <v>578.36322918899998</v>
      </c>
      <c r="M31" s="32">
        <f t="shared" si="3"/>
        <v>2.9834787951996428E-2</v>
      </c>
      <c r="N31" s="25">
        <v>19468.431086515</v>
      </c>
      <c r="O31" s="17">
        <v>779.97018758499996</v>
      </c>
      <c r="P31" s="33">
        <f t="shared" si="4"/>
        <v>4.0063330430630026E-2</v>
      </c>
      <c r="Q31" s="76">
        <f t="shared" si="6"/>
        <v>72876.160779002996</v>
      </c>
      <c r="R31" s="34">
        <f t="shared" si="5"/>
        <v>3.7700587067226503E-2</v>
      </c>
      <c r="S31" s="35">
        <f t="shared" si="7"/>
        <v>1.8601653298248202</v>
      </c>
    </row>
    <row r="32" spans="1:19">
      <c r="A32" s="20" t="s">
        <v>34</v>
      </c>
      <c r="B32" s="21">
        <v>3392.7121729359997</v>
      </c>
      <c r="C32" s="21">
        <v>92.416664044000001</v>
      </c>
      <c r="D32" s="27">
        <f t="shared" si="0"/>
        <v>2.7239759618047431E-2</v>
      </c>
      <c r="E32" s="22">
        <v>4129.9662478250002</v>
      </c>
      <c r="F32" s="22">
        <v>94.612847052000006</v>
      </c>
      <c r="G32" s="30">
        <f t="shared" si="1"/>
        <v>2.2908866894935712E-2</v>
      </c>
      <c r="H32" s="23">
        <v>4626.9375452439999</v>
      </c>
      <c r="I32" s="23">
        <v>107.10493109399999</v>
      </c>
      <c r="J32" s="31">
        <f t="shared" si="2"/>
        <v>2.3148125525077053E-2</v>
      </c>
      <c r="K32" s="24">
        <v>6895.2000197480002</v>
      </c>
      <c r="L32" s="13">
        <v>248.38074654499999</v>
      </c>
      <c r="M32" s="32">
        <f t="shared" si="3"/>
        <v>3.6022268510504732E-2</v>
      </c>
      <c r="N32" s="25">
        <v>7011.1481376539996</v>
      </c>
      <c r="O32" s="17">
        <v>285.17497927700003</v>
      </c>
      <c r="P32" s="33">
        <f t="shared" si="4"/>
        <v>4.0674504899624389E-2</v>
      </c>
      <c r="Q32" s="76">
        <f t="shared" si="6"/>
        <v>26055.964123407</v>
      </c>
      <c r="R32" s="34">
        <f t="shared" si="5"/>
        <v>3.1765862283654918E-2</v>
      </c>
      <c r="S32" s="35">
        <f t="shared" si="7"/>
        <v>1.5673431182033788</v>
      </c>
    </row>
    <row r="33" spans="1:19">
      <c r="A33" s="20" t="s">
        <v>35</v>
      </c>
      <c r="B33" s="21">
        <v>12620.537197878</v>
      </c>
      <c r="C33" s="21">
        <v>1017.282353395</v>
      </c>
      <c r="D33" s="27">
        <f t="shared" si="0"/>
        <v>8.0605313184770336E-2</v>
      </c>
      <c r="E33" s="22">
        <v>13440.403969331999</v>
      </c>
      <c r="F33" s="22">
        <v>517.06603725399998</v>
      </c>
      <c r="G33" s="30">
        <f t="shared" si="1"/>
        <v>3.8471019058194174E-2</v>
      </c>
      <c r="H33" s="23">
        <v>14667.090275832001</v>
      </c>
      <c r="I33" s="23">
        <v>458.81417698400003</v>
      </c>
      <c r="J33" s="31">
        <f t="shared" si="2"/>
        <v>3.1281881297207291E-2</v>
      </c>
      <c r="K33" s="24">
        <v>19056.689099463001</v>
      </c>
      <c r="L33" s="13">
        <v>743.15257825399999</v>
      </c>
      <c r="M33" s="32">
        <f t="shared" si="3"/>
        <v>3.8996940883867452E-2</v>
      </c>
      <c r="N33" s="25">
        <v>18571.568052305</v>
      </c>
      <c r="O33" s="17">
        <v>841.96287419700002</v>
      </c>
      <c r="P33" s="33">
        <f t="shared" si="4"/>
        <v>4.5336121959421743E-2</v>
      </c>
      <c r="Q33" s="76">
        <f t="shared" si="6"/>
        <v>78356.288594810001</v>
      </c>
      <c r="R33" s="34">
        <f t="shared" si="5"/>
        <v>4.5666762480133731E-2</v>
      </c>
      <c r="S33" s="35">
        <f t="shared" si="7"/>
        <v>2.2532203050157698</v>
      </c>
    </row>
    <row r="34" spans="1:19">
      <c r="A34" s="20" t="s">
        <v>36</v>
      </c>
      <c r="B34" s="21">
        <v>2417.1868511799998</v>
      </c>
      <c r="C34" s="21">
        <v>88.237572954000001</v>
      </c>
      <c r="D34" s="27">
        <f t="shared" si="0"/>
        <v>3.6504241660476104E-2</v>
      </c>
      <c r="E34" s="22">
        <v>2565.166276291</v>
      </c>
      <c r="F34" s="22">
        <v>87.268489729999999</v>
      </c>
      <c r="G34" s="30">
        <f t="shared" si="1"/>
        <v>3.4020597626202381E-2</v>
      </c>
      <c r="H34" s="23">
        <v>2636.3741912809996</v>
      </c>
      <c r="I34" s="23">
        <v>121.950475895</v>
      </c>
      <c r="J34" s="31">
        <f t="shared" si="2"/>
        <v>4.6256891870021279E-2</v>
      </c>
      <c r="K34" s="24">
        <v>5624.6328274160005</v>
      </c>
      <c r="L34" s="13">
        <v>139.96395507100002</v>
      </c>
      <c r="M34" s="32">
        <f t="shared" si="3"/>
        <v>2.4884105214615499E-2</v>
      </c>
      <c r="N34" s="25">
        <v>5607.6930022680008</v>
      </c>
      <c r="O34" s="17">
        <v>137.64690583000001</v>
      </c>
      <c r="P34" s="33">
        <f t="shared" si="4"/>
        <v>2.4546084419088111E-2</v>
      </c>
      <c r="Q34" s="76">
        <f t="shared" si="6"/>
        <v>18851.053148436004</v>
      </c>
      <c r="R34" s="34">
        <f t="shared" si="5"/>
        <v>3.0505849988954656E-2</v>
      </c>
      <c r="S34" s="35">
        <f t="shared" si="7"/>
        <v>1.5051734978318181</v>
      </c>
    </row>
    <row r="35" spans="1:19">
      <c r="A35" s="20" t="s">
        <v>37</v>
      </c>
      <c r="B35" s="21">
        <v>5000.0669136010001</v>
      </c>
      <c r="C35" s="21">
        <v>456.664589584</v>
      </c>
      <c r="D35" s="27">
        <f t="shared" si="0"/>
        <v>9.1331695650271716E-2</v>
      </c>
      <c r="E35" s="22">
        <v>5201.0871848099996</v>
      </c>
      <c r="F35" s="22">
        <v>117.124486623</v>
      </c>
      <c r="G35" s="30">
        <f t="shared" si="1"/>
        <v>2.2519231549332056E-2</v>
      </c>
      <c r="H35" s="23">
        <v>5596.4046215660001</v>
      </c>
      <c r="I35" s="23">
        <v>153.656271468</v>
      </c>
      <c r="J35" s="31">
        <f t="shared" si="2"/>
        <v>2.7456247690861836E-2</v>
      </c>
      <c r="K35" s="24">
        <v>6829.5711426140006</v>
      </c>
      <c r="L35" s="13">
        <v>178.05605381300001</v>
      </c>
      <c r="M35" s="32">
        <f t="shared" si="3"/>
        <v>2.6071337437572912E-2</v>
      </c>
      <c r="N35" s="25">
        <v>6643.801472737</v>
      </c>
      <c r="O35" s="17">
        <v>211.66094951299999</v>
      </c>
      <c r="P35" s="33">
        <f t="shared" si="4"/>
        <v>3.1858409734480453E-2</v>
      </c>
      <c r="Q35" s="76">
        <f t="shared" si="6"/>
        <v>29270.931335327998</v>
      </c>
      <c r="R35" s="34">
        <f t="shared" si="5"/>
        <v>3.8166272818680763E-2</v>
      </c>
      <c r="S35" s="35">
        <f t="shared" si="7"/>
        <v>1.8831424916367558</v>
      </c>
    </row>
    <row r="36" spans="1:19">
      <c r="A36" s="20" t="s">
        <v>38</v>
      </c>
      <c r="B36" s="21">
        <v>65336.147677572997</v>
      </c>
      <c r="C36" s="21">
        <v>463.24686741699998</v>
      </c>
      <c r="D36" s="27">
        <f t="shared" si="0"/>
        <v>7.0902078540515494E-3</v>
      </c>
      <c r="E36" s="22">
        <v>73449.891443257002</v>
      </c>
      <c r="F36" s="22">
        <v>375.92132209299996</v>
      </c>
      <c r="G36" s="30">
        <f t="shared" si="1"/>
        <v>5.1180650468818506E-3</v>
      </c>
      <c r="H36" s="23">
        <v>86183.951784931996</v>
      </c>
      <c r="I36" s="23">
        <v>172.94329514500001</v>
      </c>
      <c r="J36" s="31">
        <f t="shared" si="2"/>
        <v>2.0066763192359972E-3</v>
      </c>
      <c r="K36" s="24">
        <v>156654.60356357699</v>
      </c>
      <c r="L36" s="13">
        <v>317.579887692</v>
      </c>
      <c r="M36" s="32">
        <f t="shared" si="3"/>
        <v>2.0272617622955E-3</v>
      </c>
      <c r="N36" s="25">
        <v>163634.81519196101</v>
      </c>
      <c r="O36" s="17">
        <v>684.35516176200008</v>
      </c>
      <c r="P36" s="33">
        <f t="shared" si="4"/>
        <v>4.1822100080546971E-3</v>
      </c>
      <c r="Q36" s="76">
        <f t="shared" si="6"/>
        <v>545259.40966130001</v>
      </c>
      <c r="R36" s="34">
        <f t="shared" si="5"/>
        <v>3.693740077516626E-3</v>
      </c>
      <c r="S36" s="35">
        <f t="shared" si="7"/>
        <v>0.18225093464270936</v>
      </c>
    </row>
    <row r="38" spans="1:19">
      <c r="R38" s="75" t="s">
        <v>71</v>
      </c>
      <c r="S38" s="38">
        <f>+R5</f>
        <v>2.0267331329509797E-2</v>
      </c>
    </row>
  </sheetData>
  <mergeCells count="9">
    <mergeCell ref="A1:A2"/>
    <mergeCell ref="Q1:Q2"/>
    <mergeCell ref="S1:S2"/>
    <mergeCell ref="R1:R2"/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F3F0A-B99D-407F-ACF7-2B833BEEB8A1}">
  <dimension ref="A1:S38"/>
  <sheetViews>
    <sheetView topLeftCell="M1" zoomScaleNormal="100" workbookViewId="0">
      <selection activeCell="A13" sqref="A13:XFD13"/>
    </sheetView>
  </sheetViews>
  <sheetFormatPr defaultRowHeight="14.5"/>
  <cols>
    <col min="1" max="1" width="18.6328125" style="19" bestFit="1" customWidth="1"/>
    <col min="2" max="2" width="12.453125" style="19" bestFit="1" customWidth="1"/>
    <col min="3" max="3" width="11.81640625" style="19" bestFit="1" customWidth="1"/>
    <col min="4" max="4" width="11.81640625" style="28" bestFit="1" customWidth="1"/>
    <col min="5" max="5" width="12.453125" style="19" bestFit="1" customWidth="1"/>
    <col min="6" max="6" width="11.81640625" style="19" bestFit="1" customWidth="1"/>
    <col min="7" max="7" width="11.81640625" style="28" bestFit="1" customWidth="1"/>
    <col min="8" max="8" width="12.453125" style="19" bestFit="1" customWidth="1"/>
    <col min="9" max="9" width="11.81640625" style="19" bestFit="1" customWidth="1"/>
    <col min="10" max="10" width="11.81640625" style="28" bestFit="1" customWidth="1"/>
    <col min="11" max="11" width="12.453125" style="19" bestFit="1" customWidth="1"/>
    <col min="12" max="12" width="10.81640625" style="19" bestFit="1" customWidth="1"/>
    <col min="13" max="13" width="11.81640625" style="28" bestFit="1" customWidth="1"/>
    <col min="14" max="14" width="12.453125" style="19" bestFit="1" customWidth="1"/>
    <col min="15" max="15" width="11.81640625" style="19" bestFit="1" customWidth="1"/>
    <col min="16" max="16" width="11.81640625" style="28" bestFit="1" customWidth="1"/>
    <col min="17" max="17" width="11.81640625" style="28" customWidth="1"/>
    <col min="18" max="19" width="9.36328125" style="19" customWidth="1"/>
    <col min="20" max="16384" width="8.7265625" style="19"/>
  </cols>
  <sheetData>
    <row r="1" spans="1:19">
      <c r="A1" s="84" t="s">
        <v>40</v>
      </c>
      <c r="B1" s="90" t="s">
        <v>39</v>
      </c>
      <c r="C1" s="90"/>
      <c r="D1" s="90"/>
      <c r="E1" s="91" t="s">
        <v>39</v>
      </c>
      <c r="F1" s="91"/>
      <c r="G1" s="91"/>
      <c r="H1" s="92" t="s">
        <v>39</v>
      </c>
      <c r="I1" s="92"/>
      <c r="J1" s="92"/>
      <c r="K1" s="93" t="s">
        <v>39</v>
      </c>
      <c r="L1" s="94"/>
      <c r="M1" s="94"/>
      <c r="N1" s="95" t="s">
        <v>39</v>
      </c>
      <c r="O1" s="96"/>
      <c r="P1" s="96"/>
      <c r="Q1" s="98" t="s">
        <v>3</v>
      </c>
      <c r="R1" s="97" t="s">
        <v>3</v>
      </c>
      <c r="S1" s="88" t="s">
        <v>4</v>
      </c>
    </row>
    <row r="2" spans="1:19" ht="29" customHeight="1">
      <c r="A2" s="85"/>
      <c r="B2" s="1" t="s">
        <v>0</v>
      </c>
      <c r="C2" s="1" t="s">
        <v>1</v>
      </c>
      <c r="D2" s="2" t="s">
        <v>2</v>
      </c>
      <c r="E2" s="4" t="s">
        <v>0</v>
      </c>
      <c r="F2" s="4" t="s">
        <v>1</v>
      </c>
      <c r="G2" s="5" t="s">
        <v>2</v>
      </c>
      <c r="H2" s="7" t="s">
        <v>0</v>
      </c>
      <c r="I2" s="7" t="s">
        <v>1</v>
      </c>
      <c r="J2" s="8" t="s">
        <v>2</v>
      </c>
      <c r="K2" s="10" t="s">
        <v>0</v>
      </c>
      <c r="L2" s="10" t="s">
        <v>1</v>
      </c>
      <c r="M2" s="11" t="s">
        <v>2</v>
      </c>
      <c r="N2" s="14" t="s">
        <v>0</v>
      </c>
      <c r="O2" s="14" t="s">
        <v>1</v>
      </c>
      <c r="P2" s="15" t="s">
        <v>2</v>
      </c>
      <c r="Q2" s="98"/>
      <c r="R2" s="97"/>
      <c r="S2" s="88"/>
    </row>
    <row r="3" spans="1:19">
      <c r="A3" s="20" t="s">
        <v>5</v>
      </c>
      <c r="B3" s="21">
        <v>188817.67490007801</v>
      </c>
      <c r="C3" s="21">
        <v>2942.4817642950002</v>
      </c>
      <c r="D3" s="27">
        <f t="shared" ref="D3:D36" si="0">IFERROR((C3/B3),0)</f>
        <v>1.5583719934334307E-2</v>
      </c>
      <c r="E3" s="22">
        <v>209725.57601896499</v>
      </c>
      <c r="F3" s="22">
        <v>3118.0124209599999</v>
      </c>
      <c r="G3" s="30">
        <f t="shared" ref="G3:G36" si="1">IFERROR((F3/E3),0)</f>
        <v>1.4867106244962919E-2</v>
      </c>
      <c r="H3" s="23">
        <v>220934.52098679499</v>
      </c>
      <c r="I3" s="23">
        <v>3709.4239146690002</v>
      </c>
      <c r="J3" s="31">
        <f t="shared" ref="J3:J36" si="2">IFERROR((I3/H3),0)</f>
        <v>1.6789698133641635E-2</v>
      </c>
      <c r="K3" s="24">
        <v>289487.53229563701</v>
      </c>
      <c r="L3" s="13">
        <v>5233.9826943799999</v>
      </c>
      <c r="M3" s="32">
        <f t="shared" ref="M3:M36" si="3">IFERROR((L3/K3),0)</f>
        <v>1.8080166191871895E-2</v>
      </c>
      <c r="N3" s="25">
        <v>297644.933868022</v>
      </c>
      <c r="O3" s="17">
        <v>5672.2823183070004</v>
      </c>
      <c r="P3" s="33">
        <f t="shared" ref="P3:P36" si="4">IFERROR((O3/N3),0)</f>
        <v>1.9057211035287208E-2</v>
      </c>
      <c r="Q3" s="76">
        <f>+B3+E3+H3+K3+N3</f>
        <v>1206610.2380694968</v>
      </c>
      <c r="R3" s="34">
        <f t="shared" ref="R3:R36" si="5">SUM(C3,F3,I3,L3,O3)/SUM(B3,E3,H3,K3,N3)</f>
        <v>1.713575971781214E-2</v>
      </c>
      <c r="S3" s="35">
        <f>R3/R$5*S$5</f>
        <v>0.84820820965693233</v>
      </c>
    </row>
    <row r="4" spans="1:19">
      <c r="A4" s="20" t="s">
        <v>6</v>
      </c>
      <c r="B4" s="21">
        <v>63349.671084907997</v>
      </c>
      <c r="C4" s="21">
        <v>729.668544666</v>
      </c>
      <c r="D4" s="27">
        <f t="shared" si="0"/>
        <v>1.1518111020466393E-2</v>
      </c>
      <c r="E4" s="22">
        <v>73735.606932709998</v>
      </c>
      <c r="F4" s="22">
        <v>801.25408750400004</v>
      </c>
      <c r="G4" s="30">
        <f t="shared" si="1"/>
        <v>1.0866582928315927E-2</v>
      </c>
      <c r="H4" s="23">
        <v>69910.786379678</v>
      </c>
      <c r="I4" s="23">
        <v>914.260047407</v>
      </c>
      <c r="J4" s="31">
        <f t="shared" si="2"/>
        <v>1.3077524867790093E-2</v>
      </c>
      <c r="K4" s="24">
        <v>97203.295670050007</v>
      </c>
      <c r="L4" s="13">
        <v>1472.855631962</v>
      </c>
      <c r="M4" s="32">
        <f t="shared" si="3"/>
        <v>1.5152321964077314E-2</v>
      </c>
      <c r="N4" s="25">
        <v>100904.652977908</v>
      </c>
      <c r="O4" s="17">
        <v>1733.4733543469999</v>
      </c>
      <c r="P4" s="33">
        <f t="shared" si="4"/>
        <v>1.7179320310694943E-2</v>
      </c>
      <c r="Q4" s="76">
        <f t="shared" ref="Q4:Q36" si="6">+B4+E4+H4+K4+N4</f>
        <v>405104.01304525405</v>
      </c>
      <c r="R4" s="34">
        <f t="shared" si="5"/>
        <v>1.3950766923789205E-2</v>
      </c>
      <c r="S4" s="35">
        <f t="shared" ref="S4:S36" si="7">R4/R$5*S$5</f>
        <v>0.69055327751054763</v>
      </c>
    </row>
    <row r="5" spans="1:19">
      <c r="A5" s="50" t="s">
        <v>7</v>
      </c>
      <c r="B5" s="21">
        <v>390919.62858532998</v>
      </c>
      <c r="C5" s="21">
        <v>7574.0949182550003</v>
      </c>
      <c r="D5" s="27">
        <f t="shared" si="0"/>
        <v>1.9375069360585268E-2</v>
      </c>
      <c r="E5" s="22">
        <v>436961.24334703601</v>
      </c>
      <c r="F5" s="22">
        <v>8359.9501187610003</v>
      </c>
      <c r="G5" s="30">
        <f t="shared" si="1"/>
        <v>1.9132017418124887E-2</v>
      </c>
      <c r="H5" s="23">
        <v>461949.35903185903</v>
      </c>
      <c r="I5" s="23">
        <v>8719.6153515280002</v>
      </c>
      <c r="J5" s="31">
        <f t="shared" si="2"/>
        <v>1.8875695313881016E-2</v>
      </c>
      <c r="K5" s="24">
        <v>578784.37457407895</v>
      </c>
      <c r="L5" s="13">
        <v>11829.067860417001</v>
      </c>
      <c r="M5" s="32">
        <f t="shared" si="3"/>
        <v>2.0437780251275583E-2</v>
      </c>
      <c r="N5" s="25">
        <v>592267.02575552301</v>
      </c>
      <c r="O5" s="17">
        <v>13232.749445936999</v>
      </c>
      <c r="P5" s="33">
        <f t="shared" si="4"/>
        <v>2.234253954803021E-2</v>
      </c>
      <c r="Q5" s="77">
        <f t="shared" si="6"/>
        <v>2460881.6312938267</v>
      </c>
      <c r="R5" s="39">
        <f t="shared" si="5"/>
        <v>2.0202303541418089E-2</v>
      </c>
      <c r="S5" s="74">
        <v>1</v>
      </c>
    </row>
    <row r="6" spans="1:19">
      <c r="A6" s="20" t="s">
        <v>8</v>
      </c>
      <c r="B6" s="21">
        <v>12489.037748838</v>
      </c>
      <c r="C6" s="21">
        <v>117.01888183600001</v>
      </c>
      <c r="D6" s="27">
        <f t="shared" si="0"/>
        <v>9.3697276114717183E-3</v>
      </c>
      <c r="E6" s="22">
        <v>13719.174413946999</v>
      </c>
      <c r="F6" s="22">
        <v>159.141957789</v>
      </c>
      <c r="G6" s="30">
        <f t="shared" si="1"/>
        <v>1.159996607574398E-2</v>
      </c>
      <c r="H6" s="23">
        <v>14774.529848881</v>
      </c>
      <c r="I6" s="23">
        <v>172.683986882</v>
      </c>
      <c r="J6" s="31">
        <f t="shared" si="2"/>
        <v>1.1687951403413274E-2</v>
      </c>
      <c r="K6" s="24">
        <v>15960.150535766001</v>
      </c>
      <c r="L6" s="13">
        <v>258.05924797699998</v>
      </c>
      <c r="M6" s="32">
        <f t="shared" si="3"/>
        <v>1.6168973306279314E-2</v>
      </c>
      <c r="N6" s="25">
        <v>16391.767107675001</v>
      </c>
      <c r="O6" s="17">
        <v>283.35244482299998</v>
      </c>
      <c r="P6" s="33">
        <f t="shared" si="4"/>
        <v>1.7286265901760394E-2</v>
      </c>
      <c r="Q6" s="76">
        <f t="shared" si="6"/>
        <v>73334.659655106996</v>
      </c>
      <c r="R6" s="34">
        <f t="shared" si="5"/>
        <v>1.3503253767920623E-2</v>
      </c>
      <c r="S6" s="35">
        <f t="shared" si="7"/>
        <v>0.66840168697775981</v>
      </c>
    </row>
    <row r="7" spans="1:19">
      <c r="A7" s="20" t="s">
        <v>9</v>
      </c>
      <c r="B7" s="21">
        <v>78257.062459277004</v>
      </c>
      <c r="C7" s="21">
        <v>833.81261457200003</v>
      </c>
      <c r="D7" s="27">
        <f t="shared" si="0"/>
        <v>1.0654790614021515E-2</v>
      </c>
      <c r="E7" s="22">
        <v>83281.507103502998</v>
      </c>
      <c r="F7" s="22">
        <v>856.72335877299997</v>
      </c>
      <c r="G7" s="30">
        <f t="shared" si="1"/>
        <v>1.0287077990894865E-2</v>
      </c>
      <c r="H7" s="23">
        <v>87738.138374489004</v>
      </c>
      <c r="I7" s="23">
        <v>972.07959054699995</v>
      </c>
      <c r="J7" s="31">
        <f t="shared" si="2"/>
        <v>1.1079327742263159E-2</v>
      </c>
      <c r="K7" s="24">
        <v>102693.06400640401</v>
      </c>
      <c r="L7" s="13">
        <v>1142.1132609270001</v>
      </c>
      <c r="M7" s="32">
        <f t="shared" si="3"/>
        <v>1.1121620257194558E-2</v>
      </c>
      <c r="N7" s="25">
        <v>105113.744565043</v>
      </c>
      <c r="O7" s="17">
        <v>1262.8171339820001</v>
      </c>
      <c r="P7" s="33">
        <f t="shared" si="4"/>
        <v>1.2013815502506292E-2</v>
      </c>
      <c r="Q7" s="76">
        <f t="shared" si="6"/>
        <v>457083.51650871604</v>
      </c>
      <c r="R7" s="34">
        <f t="shared" si="5"/>
        <v>1.1086695922679083E-2</v>
      </c>
      <c r="S7" s="35">
        <f t="shared" si="7"/>
        <v>0.54878375131576007</v>
      </c>
    </row>
    <row r="8" spans="1:19">
      <c r="A8" s="20" t="s">
        <v>10</v>
      </c>
      <c r="B8" s="21">
        <v>122242.11478099199</v>
      </c>
      <c r="C8" s="21">
        <v>1483.5306367769999</v>
      </c>
      <c r="D8" s="27">
        <f t="shared" si="0"/>
        <v>1.2136002714243628E-2</v>
      </c>
      <c r="E8" s="22">
        <v>132725.393000262</v>
      </c>
      <c r="F8" s="22">
        <v>1767.80919819</v>
      </c>
      <c r="G8" s="30">
        <f t="shared" si="1"/>
        <v>1.3319299029587429E-2</v>
      </c>
      <c r="H8" s="23">
        <v>140268.70689167801</v>
      </c>
      <c r="I8" s="23">
        <v>2112.3600245930002</v>
      </c>
      <c r="J8" s="31">
        <f t="shared" si="2"/>
        <v>1.5059381892101296E-2</v>
      </c>
      <c r="K8" s="24">
        <v>165304.094478413</v>
      </c>
      <c r="L8" s="13">
        <v>3282.5860517199999</v>
      </c>
      <c r="M8" s="32">
        <f t="shared" si="3"/>
        <v>1.9857862940888447E-2</v>
      </c>
      <c r="N8" s="25">
        <v>168785.57057910401</v>
      </c>
      <c r="O8" s="17">
        <v>3363.7128500660001</v>
      </c>
      <c r="P8" s="33">
        <f t="shared" si="4"/>
        <v>1.9928912397695415E-2</v>
      </c>
      <c r="Q8" s="76">
        <f t="shared" si="6"/>
        <v>729325.87973044906</v>
      </c>
      <c r="R8" s="34">
        <f t="shared" si="5"/>
        <v>1.6467259828740432E-2</v>
      </c>
      <c r="S8" s="35">
        <f t="shared" si="7"/>
        <v>0.81511792924899906</v>
      </c>
    </row>
    <row r="9" spans="1:19">
      <c r="A9" s="20" t="s">
        <v>11</v>
      </c>
      <c r="B9" s="21">
        <v>10292.030460726</v>
      </c>
      <c r="C9" s="21">
        <v>66.367306737999996</v>
      </c>
      <c r="D9" s="27">
        <f t="shared" si="0"/>
        <v>6.448417247816661E-3</v>
      </c>
      <c r="E9" s="22">
        <v>11273.597552629</v>
      </c>
      <c r="F9" s="22">
        <v>70.369514375999998</v>
      </c>
      <c r="G9" s="30">
        <f t="shared" si="1"/>
        <v>6.2419750259392432E-3</v>
      </c>
      <c r="H9" s="23">
        <v>12157.173250472</v>
      </c>
      <c r="I9" s="23">
        <v>106.82224644599999</v>
      </c>
      <c r="J9" s="31">
        <f t="shared" si="2"/>
        <v>8.7867668120837749E-3</v>
      </c>
      <c r="K9" s="24">
        <v>13890.676835793</v>
      </c>
      <c r="L9" s="13">
        <v>167.69206686300001</v>
      </c>
      <c r="M9" s="32">
        <f t="shared" si="3"/>
        <v>1.2072274723928288E-2</v>
      </c>
      <c r="N9" s="25">
        <v>14138.927566203</v>
      </c>
      <c r="O9" s="17">
        <v>159.03410765800001</v>
      </c>
      <c r="P9" s="33">
        <f t="shared" si="4"/>
        <v>1.1247961128123138E-2</v>
      </c>
      <c r="Q9" s="76">
        <f t="shared" si="6"/>
        <v>61752.405665822997</v>
      </c>
      <c r="R9" s="34">
        <f t="shared" si="5"/>
        <v>9.2350287560801162E-3</v>
      </c>
      <c r="S9" s="35">
        <f t="shared" si="7"/>
        <v>0.45712751207538133</v>
      </c>
    </row>
    <row r="10" spans="1:19">
      <c r="A10" s="20" t="s">
        <v>12</v>
      </c>
      <c r="B10" s="21">
        <v>15249.808276021</v>
      </c>
      <c r="C10" s="21">
        <v>207.807985368</v>
      </c>
      <c r="D10" s="27">
        <f t="shared" si="0"/>
        <v>1.362692445745433E-2</v>
      </c>
      <c r="E10" s="22">
        <v>16798.413235437001</v>
      </c>
      <c r="F10" s="22">
        <v>206.725103322</v>
      </c>
      <c r="G10" s="30">
        <f t="shared" si="1"/>
        <v>1.2306228000505678E-2</v>
      </c>
      <c r="H10" s="23">
        <v>18273.594935538</v>
      </c>
      <c r="I10" s="23">
        <v>236.68806357099999</v>
      </c>
      <c r="J10" s="31">
        <f t="shared" si="2"/>
        <v>1.2952463070673376E-2</v>
      </c>
      <c r="K10" s="24">
        <v>21428.124634719999</v>
      </c>
      <c r="L10" s="13">
        <v>328.144111372</v>
      </c>
      <c r="M10" s="32">
        <f t="shared" si="3"/>
        <v>1.5313711160719494E-2</v>
      </c>
      <c r="N10" s="25">
        <v>21900.719617544</v>
      </c>
      <c r="O10" s="17">
        <v>348.398476007</v>
      </c>
      <c r="P10" s="33">
        <f t="shared" si="4"/>
        <v>1.5908083482695637E-2</v>
      </c>
      <c r="Q10" s="76">
        <f t="shared" si="6"/>
        <v>93650.660699260014</v>
      </c>
      <c r="R10" s="34">
        <f t="shared" si="5"/>
        <v>1.4177836330528862E-2</v>
      </c>
      <c r="S10" s="35">
        <f t="shared" si="7"/>
        <v>0.70179305550290016</v>
      </c>
    </row>
    <row r="11" spans="1:19">
      <c r="A11" s="20" t="s">
        <v>13</v>
      </c>
      <c r="B11" s="21">
        <v>19232.893449212999</v>
      </c>
      <c r="C11" s="21">
        <v>109.98242005</v>
      </c>
      <c r="D11" s="27">
        <f t="shared" si="0"/>
        <v>5.7184541858157295E-3</v>
      </c>
      <c r="E11" s="22">
        <v>20755.296609912999</v>
      </c>
      <c r="F11" s="22">
        <v>96.976954184999997</v>
      </c>
      <c r="G11" s="30">
        <f t="shared" si="1"/>
        <v>4.6723954857230297E-3</v>
      </c>
      <c r="H11" s="23">
        <v>22614.414606474998</v>
      </c>
      <c r="I11" s="23">
        <v>98.826827116999993</v>
      </c>
      <c r="J11" s="31">
        <f t="shared" si="2"/>
        <v>4.3700811556140716E-3</v>
      </c>
      <c r="K11" s="24">
        <v>26123.880915360998</v>
      </c>
      <c r="L11" s="13">
        <v>160.620043434</v>
      </c>
      <c r="M11" s="32">
        <f t="shared" si="3"/>
        <v>6.148399005277751E-3</v>
      </c>
      <c r="N11" s="25">
        <v>26671.032311633</v>
      </c>
      <c r="O11" s="17">
        <v>183.27959790899999</v>
      </c>
      <c r="P11" s="33">
        <f t="shared" si="4"/>
        <v>6.8718599178127669E-3</v>
      </c>
      <c r="Q11" s="76">
        <f t="shared" si="6"/>
        <v>115397.517892595</v>
      </c>
      <c r="R11" s="34">
        <f t="shared" si="5"/>
        <v>5.62998108243271E-3</v>
      </c>
      <c r="S11" s="35">
        <f t="shared" si="7"/>
        <v>0.27868015500758664</v>
      </c>
    </row>
    <row r="12" spans="1:19">
      <c r="A12" s="20" t="s">
        <v>14</v>
      </c>
      <c r="B12" s="21">
        <v>46684.448984882001</v>
      </c>
      <c r="C12" s="21">
        <v>1014.450997367</v>
      </c>
      <c r="D12" s="27">
        <f t="shared" si="0"/>
        <v>2.172995546537378E-2</v>
      </c>
      <c r="E12" s="22">
        <v>54786.081663972</v>
      </c>
      <c r="F12" s="22">
        <v>935.40538266900001</v>
      </c>
      <c r="G12" s="30">
        <f t="shared" si="1"/>
        <v>1.7073777759947634E-2</v>
      </c>
      <c r="H12" s="23">
        <v>56809.213367695003</v>
      </c>
      <c r="I12" s="23">
        <v>1049.815499459</v>
      </c>
      <c r="J12" s="31">
        <f t="shared" si="2"/>
        <v>1.8479669708927629E-2</v>
      </c>
      <c r="K12" s="24">
        <v>70561.130660961004</v>
      </c>
      <c r="L12" s="13">
        <v>1230.6786039850001</v>
      </c>
      <c r="M12" s="32">
        <f t="shared" si="3"/>
        <v>1.7441310711109274E-2</v>
      </c>
      <c r="N12" s="25">
        <v>72372.104137371003</v>
      </c>
      <c r="O12" s="17">
        <v>1356.4394875390001</v>
      </c>
      <c r="P12" s="33">
        <f t="shared" si="4"/>
        <v>1.8742573588358215E-2</v>
      </c>
      <c r="Q12" s="76">
        <f t="shared" si="6"/>
        <v>301212.97881488106</v>
      </c>
      <c r="R12" s="34">
        <f t="shared" si="5"/>
        <v>1.8547640254414535E-2</v>
      </c>
      <c r="S12" s="35">
        <f t="shared" si="7"/>
        <v>0.91809531603110417</v>
      </c>
    </row>
    <row r="13" spans="1:19">
      <c r="A13" s="20" t="s">
        <v>15</v>
      </c>
      <c r="B13" s="21">
        <v>22309.075104815998</v>
      </c>
      <c r="C13" s="21">
        <v>184.51095776599999</v>
      </c>
      <c r="D13" s="27">
        <f t="shared" si="0"/>
        <v>8.270668187681544E-3</v>
      </c>
      <c r="E13" s="22">
        <v>23654.959180618</v>
      </c>
      <c r="F13" s="22">
        <v>199.11946218599999</v>
      </c>
      <c r="G13" s="30">
        <f t="shared" si="1"/>
        <v>8.4176624726180517E-3</v>
      </c>
      <c r="H13" s="23">
        <v>25026.083019098001</v>
      </c>
      <c r="I13" s="23">
        <v>208.30269547</v>
      </c>
      <c r="J13" s="31">
        <f t="shared" si="2"/>
        <v>8.3234238179038748E-3</v>
      </c>
      <c r="K13" s="24">
        <v>29923.452936383001</v>
      </c>
      <c r="L13" s="13">
        <v>218.15892596899999</v>
      </c>
      <c r="M13" s="32">
        <f t="shared" si="3"/>
        <v>7.290566581096238E-3</v>
      </c>
      <c r="N13" s="25">
        <v>30756.951500658</v>
      </c>
      <c r="O13" s="17">
        <v>236.73987128600001</v>
      </c>
      <c r="P13" s="33">
        <f t="shared" si="4"/>
        <v>7.697117553439433E-3</v>
      </c>
      <c r="Q13" s="76">
        <f t="shared" si="6"/>
        <v>131670.521741573</v>
      </c>
      <c r="R13" s="34">
        <f t="shared" si="5"/>
        <v>7.9503893417510359E-3</v>
      </c>
      <c r="S13" s="35">
        <f t="shared" si="7"/>
        <v>0.3935387529175281</v>
      </c>
    </row>
    <row r="14" spans="1:19">
      <c r="A14" s="20" t="s">
        <v>16</v>
      </c>
      <c r="B14" s="21">
        <v>25860.521493864999</v>
      </c>
      <c r="C14" s="21">
        <v>478.11664011599999</v>
      </c>
      <c r="D14" s="27">
        <f t="shared" si="0"/>
        <v>1.8488283008114344E-2</v>
      </c>
      <c r="E14" s="22">
        <v>28371.836161108</v>
      </c>
      <c r="F14" s="22">
        <v>412.84559285900002</v>
      </c>
      <c r="G14" s="30">
        <f t="shared" si="1"/>
        <v>1.4551246895501501E-2</v>
      </c>
      <c r="H14" s="23">
        <v>30316.944810420999</v>
      </c>
      <c r="I14" s="23">
        <v>495.05772378400002</v>
      </c>
      <c r="J14" s="31">
        <f t="shared" si="2"/>
        <v>1.6329406768383577E-2</v>
      </c>
      <c r="K14" s="24">
        <v>34660.188589047997</v>
      </c>
      <c r="L14" s="13">
        <v>663.91937940800005</v>
      </c>
      <c r="M14" s="32">
        <f t="shared" si="3"/>
        <v>1.915510002786848E-2</v>
      </c>
      <c r="N14" s="25">
        <v>35805.332903916998</v>
      </c>
      <c r="O14" s="17">
        <v>724.03882383999996</v>
      </c>
      <c r="P14" s="33">
        <f t="shared" si="4"/>
        <v>2.0221535875198978E-2</v>
      </c>
      <c r="Q14" s="76">
        <f t="shared" si="6"/>
        <v>155014.82395835899</v>
      </c>
      <c r="R14" s="34">
        <f t="shared" si="5"/>
        <v>1.7894921847939928E-2</v>
      </c>
      <c r="S14" s="35">
        <f t="shared" si="7"/>
        <v>0.88578620805554953</v>
      </c>
    </row>
    <row r="15" spans="1:19">
      <c r="A15" s="20" t="s">
        <v>17</v>
      </c>
      <c r="B15" s="21">
        <v>30122.041539835001</v>
      </c>
      <c r="C15" s="21">
        <v>491.08880692100001</v>
      </c>
      <c r="D15" s="27">
        <f t="shared" si="0"/>
        <v>1.6303304218990532E-2</v>
      </c>
      <c r="E15" s="22">
        <v>32679.00323006</v>
      </c>
      <c r="F15" s="22">
        <v>538.98116281199998</v>
      </c>
      <c r="G15" s="30">
        <f t="shared" si="1"/>
        <v>1.6493194698062718E-2</v>
      </c>
      <c r="H15" s="23">
        <v>35473.988310485001</v>
      </c>
      <c r="I15" s="23">
        <v>566.00022118300001</v>
      </c>
      <c r="J15" s="31">
        <f t="shared" si="2"/>
        <v>1.5955359071246806E-2</v>
      </c>
      <c r="K15" s="24">
        <v>44019.667336300998</v>
      </c>
      <c r="L15" s="13">
        <v>732.51748482300002</v>
      </c>
      <c r="M15" s="32">
        <f t="shared" si="3"/>
        <v>1.6640686519203349E-2</v>
      </c>
      <c r="N15" s="25">
        <v>45136.25363169</v>
      </c>
      <c r="O15" s="17">
        <v>781.10072810300005</v>
      </c>
      <c r="P15" s="33">
        <f t="shared" si="4"/>
        <v>1.7305395668784352E-2</v>
      </c>
      <c r="Q15" s="76">
        <f t="shared" si="6"/>
        <v>187430.954048371</v>
      </c>
      <c r="R15" s="34">
        <f t="shared" si="5"/>
        <v>1.6591114416669252E-2</v>
      </c>
      <c r="S15" s="35">
        <f t="shared" si="7"/>
        <v>0.82124864536634168</v>
      </c>
    </row>
    <row r="16" spans="1:19">
      <c r="A16" s="20" t="s">
        <v>18</v>
      </c>
      <c r="B16" s="21">
        <v>5100.2249268060004</v>
      </c>
      <c r="C16" s="21">
        <v>58.726430217000001</v>
      </c>
      <c r="D16" s="27">
        <f t="shared" si="0"/>
        <v>1.1514478490613794E-2</v>
      </c>
      <c r="E16" s="22">
        <v>5566.4114612490002</v>
      </c>
      <c r="F16" s="22">
        <v>52.865776652000001</v>
      </c>
      <c r="G16" s="30">
        <f t="shared" si="1"/>
        <v>9.4972815107235882E-3</v>
      </c>
      <c r="H16" s="23">
        <v>6065.2350547650003</v>
      </c>
      <c r="I16" s="23">
        <v>74.246868512000006</v>
      </c>
      <c r="J16" s="31">
        <f t="shared" si="2"/>
        <v>1.2241383531157595E-2</v>
      </c>
      <c r="K16" s="24">
        <v>7835.4596855299997</v>
      </c>
      <c r="L16" s="13">
        <v>79.826858115999997</v>
      </c>
      <c r="M16" s="32">
        <f t="shared" si="3"/>
        <v>1.0187897241487807E-2</v>
      </c>
      <c r="N16" s="25">
        <v>8100.7239451770001</v>
      </c>
      <c r="O16" s="17">
        <v>81.051251301999997</v>
      </c>
      <c r="P16" s="33">
        <f t="shared" si="4"/>
        <v>1.0005433076170458E-2</v>
      </c>
      <c r="Q16" s="76">
        <f t="shared" si="6"/>
        <v>32668.055073527004</v>
      </c>
      <c r="R16" s="34">
        <f t="shared" si="5"/>
        <v>1.0613340280547244E-2</v>
      </c>
      <c r="S16" s="35">
        <f t="shared" si="7"/>
        <v>0.52535297565389649</v>
      </c>
    </row>
    <row r="17" spans="1:19">
      <c r="A17" s="20" t="s">
        <v>19</v>
      </c>
      <c r="B17" s="21">
        <v>14724.872221903999</v>
      </c>
      <c r="C17" s="21">
        <v>218.053662976</v>
      </c>
      <c r="D17" s="27">
        <f t="shared" si="0"/>
        <v>1.4808526667663306E-2</v>
      </c>
      <c r="E17" s="22">
        <v>15609.065663052999</v>
      </c>
      <c r="F17" s="22">
        <v>223.830476162</v>
      </c>
      <c r="G17" s="30">
        <f t="shared" si="1"/>
        <v>1.4339774141114137E-2</v>
      </c>
      <c r="H17" s="23">
        <v>16515.824488949998</v>
      </c>
      <c r="I17" s="23">
        <v>282.71741694100001</v>
      </c>
      <c r="J17" s="31">
        <f t="shared" si="2"/>
        <v>1.7117971744623081E-2</v>
      </c>
      <c r="K17" s="24">
        <v>20575.860223684002</v>
      </c>
      <c r="L17" s="13">
        <v>364.494584836</v>
      </c>
      <c r="M17" s="32">
        <f t="shared" si="3"/>
        <v>1.771467053496241E-2</v>
      </c>
      <c r="N17" s="25">
        <v>20697.043451254001</v>
      </c>
      <c r="O17" s="17">
        <v>369.89915174999999</v>
      </c>
      <c r="P17" s="33">
        <f t="shared" si="4"/>
        <v>1.7872076880023575E-2</v>
      </c>
      <c r="Q17" s="76">
        <f t="shared" si="6"/>
        <v>88122.666048844985</v>
      </c>
      <c r="R17" s="34">
        <f t="shared" si="5"/>
        <v>1.6556413441421555E-2</v>
      </c>
      <c r="S17" s="35">
        <f t="shared" si="7"/>
        <v>0.81953097118247664</v>
      </c>
    </row>
    <row r="18" spans="1:19">
      <c r="A18" s="20" t="s">
        <v>20</v>
      </c>
      <c r="B18" s="21">
        <v>14544.386662088</v>
      </c>
      <c r="C18" s="21">
        <v>189.28077512600001</v>
      </c>
      <c r="D18" s="27">
        <f t="shared" si="0"/>
        <v>1.3014008739150693E-2</v>
      </c>
      <c r="E18" s="22">
        <v>15839.728446715</v>
      </c>
      <c r="F18" s="22">
        <v>217.76871717</v>
      </c>
      <c r="G18" s="30">
        <f t="shared" si="1"/>
        <v>1.3748260767384749E-2</v>
      </c>
      <c r="H18" s="23">
        <v>17190.682186825001</v>
      </c>
      <c r="I18" s="23">
        <v>227.350862777</v>
      </c>
      <c r="J18" s="31">
        <f t="shared" si="2"/>
        <v>1.3225237969394985E-2</v>
      </c>
      <c r="K18" s="24">
        <v>19966.001729067</v>
      </c>
      <c r="L18" s="13">
        <v>294.07631573899999</v>
      </c>
      <c r="M18" s="32">
        <f t="shared" si="3"/>
        <v>1.4728853564651175E-2</v>
      </c>
      <c r="N18" s="25">
        <v>20626.567367468</v>
      </c>
      <c r="O18" s="17">
        <v>316.95523002900001</v>
      </c>
      <c r="P18" s="33">
        <f t="shared" si="4"/>
        <v>1.5366358559926864E-2</v>
      </c>
      <c r="Q18" s="76">
        <f t="shared" si="6"/>
        <v>88167.366392163007</v>
      </c>
      <c r="R18" s="34">
        <f t="shared" si="5"/>
        <v>1.4125769565367256E-2</v>
      </c>
      <c r="S18" s="35">
        <f t="shared" si="7"/>
        <v>0.69921578677436835</v>
      </c>
    </row>
    <row r="19" spans="1:19">
      <c r="A19" s="20" t="s">
        <v>21</v>
      </c>
      <c r="B19" s="21">
        <v>19775.297463032999</v>
      </c>
      <c r="C19" s="21">
        <v>401.28053296500002</v>
      </c>
      <c r="D19" s="27">
        <f t="shared" si="0"/>
        <v>2.0292009954092208E-2</v>
      </c>
      <c r="E19" s="22">
        <v>21080.418206553</v>
      </c>
      <c r="F19" s="22">
        <v>382.58329392299999</v>
      </c>
      <c r="G19" s="30">
        <f t="shared" si="1"/>
        <v>1.8148752561468216E-2</v>
      </c>
      <c r="H19" s="23">
        <v>22417.446834318998</v>
      </c>
      <c r="I19" s="23">
        <v>406.50587765400002</v>
      </c>
      <c r="J19" s="31">
        <f t="shared" si="2"/>
        <v>1.8133460097323743E-2</v>
      </c>
      <c r="K19" s="24">
        <v>27057.676901146999</v>
      </c>
      <c r="L19" s="13">
        <v>510.85635246599998</v>
      </c>
      <c r="M19" s="32">
        <f t="shared" si="3"/>
        <v>1.8880273954499927E-2</v>
      </c>
      <c r="N19" s="25">
        <v>27889.486916325</v>
      </c>
      <c r="O19" s="17">
        <v>534.08403575600005</v>
      </c>
      <c r="P19" s="33">
        <f t="shared" si="4"/>
        <v>1.9150012955002627E-2</v>
      </c>
      <c r="Q19" s="76">
        <f t="shared" si="6"/>
        <v>118220.326321377</v>
      </c>
      <c r="R19" s="34">
        <f t="shared" si="5"/>
        <v>1.8908001376069655E-2</v>
      </c>
      <c r="S19" s="35">
        <f t="shared" si="7"/>
        <v>0.9359329413749824</v>
      </c>
    </row>
    <row r="20" spans="1:19">
      <c r="A20" s="20" t="s">
        <v>22</v>
      </c>
      <c r="B20" s="21">
        <v>18608.863492267999</v>
      </c>
      <c r="C20" s="21">
        <v>172.48674647999999</v>
      </c>
      <c r="D20" s="27">
        <f t="shared" si="0"/>
        <v>9.2690639894085092E-3</v>
      </c>
      <c r="E20" s="22">
        <v>21304.016804457999</v>
      </c>
      <c r="F20" s="22">
        <v>192.01800019800001</v>
      </c>
      <c r="G20" s="30">
        <f t="shared" si="1"/>
        <v>9.0132298505237306E-3</v>
      </c>
      <c r="H20" s="23">
        <v>22920.027986212001</v>
      </c>
      <c r="I20" s="23">
        <v>226.380755381</v>
      </c>
      <c r="J20" s="31">
        <f t="shared" si="2"/>
        <v>9.8769842478893949E-3</v>
      </c>
      <c r="K20" s="24">
        <v>30269.515937046999</v>
      </c>
      <c r="L20" s="13">
        <v>352.124282988</v>
      </c>
      <c r="M20" s="32">
        <f t="shared" si="3"/>
        <v>1.1632967098658934E-2</v>
      </c>
      <c r="N20" s="25">
        <v>30430.078158622</v>
      </c>
      <c r="O20" s="17">
        <v>387.52239660200001</v>
      </c>
      <c r="P20" s="33">
        <f t="shared" si="4"/>
        <v>1.2734847231807065E-2</v>
      </c>
      <c r="Q20" s="76">
        <f t="shared" si="6"/>
        <v>123532.50237860699</v>
      </c>
      <c r="R20" s="34">
        <f t="shared" si="5"/>
        <v>1.0770705328797887E-2</v>
      </c>
      <c r="S20" s="35">
        <f t="shared" si="7"/>
        <v>0.53314243629277946</v>
      </c>
    </row>
    <row r="21" spans="1:19">
      <c r="A21" s="20" t="s">
        <v>23</v>
      </c>
      <c r="B21" s="21">
        <v>25401.794439810001</v>
      </c>
      <c r="C21" s="21">
        <v>800.83583078699996</v>
      </c>
      <c r="D21" s="27">
        <f t="shared" si="0"/>
        <v>3.1526742438790875E-2</v>
      </c>
      <c r="E21" s="22">
        <v>26992.425098612999</v>
      </c>
      <c r="F21" s="22">
        <v>841.03878371200005</v>
      </c>
      <c r="G21" s="30">
        <f t="shared" si="1"/>
        <v>3.1158326109617201E-2</v>
      </c>
      <c r="H21" s="23">
        <v>28258.095960887</v>
      </c>
      <c r="I21" s="23">
        <v>974.16181504600002</v>
      </c>
      <c r="J21" s="31">
        <f t="shared" si="2"/>
        <v>3.4473724499852039E-2</v>
      </c>
      <c r="K21" s="24">
        <v>33887.656294451001</v>
      </c>
      <c r="L21" s="13">
        <v>565.97213210500001</v>
      </c>
      <c r="M21" s="32">
        <f t="shared" si="3"/>
        <v>1.6701424471118595E-2</v>
      </c>
      <c r="N21" s="25">
        <v>34758.380179432999</v>
      </c>
      <c r="O21" s="17">
        <v>639.94674886099995</v>
      </c>
      <c r="P21" s="33">
        <f t="shared" si="4"/>
        <v>1.8411293781741448E-2</v>
      </c>
      <c r="Q21" s="76">
        <f t="shared" si="6"/>
        <v>149298.35197319402</v>
      </c>
      <c r="R21" s="34">
        <f t="shared" si="5"/>
        <v>2.5599447415181234E-2</v>
      </c>
      <c r="S21" s="35">
        <f t="shared" si="7"/>
        <v>1.2671548748239576</v>
      </c>
    </row>
    <row r="22" spans="1:19">
      <c r="A22" s="20" t="s">
        <v>24</v>
      </c>
      <c r="B22" s="21">
        <v>10954.489849276</v>
      </c>
      <c r="C22" s="21">
        <v>88.756746759999999</v>
      </c>
      <c r="D22" s="27">
        <f t="shared" si="0"/>
        <v>8.1023167651998029E-3</v>
      </c>
      <c r="E22" s="22">
        <v>12238.911323890999</v>
      </c>
      <c r="F22" s="22">
        <v>72.801704200000003</v>
      </c>
      <c r="G22" s="30">
        <f t="shared" si="1"/>
        <v>5.9483807238546816E-3</v>
      </c>
      <c r="H22" s="23">
        <v>13748.416530929</v>
      </c>
      <c r="I22" s="23">
        <v>104.074616488</v>
      </c>
      <c r="J22" s="31">
        <f t="shared" si="2"/>
        <v>7.5699347814978902E-3</v>
      </c>
      <c r="K22" s="24">
        <v>18001.364846208999</v>
      </c>
      <c r="L22" s="13">
        <v>218.86897064199999</v>
      </c>
      <c r="M22" s="32">
        <f t="shared" si="3"/>
        <v>1.2158465344814826E-2</v>
      </c>
      <c r="N22" s="25">
        <v>18407.655424065</v>
      </c>
      <c r="O22" s="17">
        <v>240.218958098</v>
      </c>
      <c r="P22" s="33">
        <f t="shared" si="4"/>
        <v>1.3049948652556424E-2</v>
      </c>
      <c r="Q22" s="76">
        <f t="shared" si="6"/>
        <v>73350.837974369992</v>
      </c>
      <c r="R22" s="34">
        <f t="shared" si="5"/>
        <v>9.8802006384879973E-3</v>
      </c>
      <c r="S22" s="35">
        <f t="shared" si="7"/>
        <v>0.48906307234875168</v>
      </c>
    </row>
    <row r="23" spans="1:19">
      <c r="A23" s="20" t="s">
        <v>25</v>
      </c>
      <c r="B23" s="21">
        <v>15330.856582843</v>
      </c>
      <c r="C23" s="21">
        <v>133.789561002</v>
      </c>
      <c r="D23" s="27">
        <f t="shared" si="0"/>
        <v>8.7268157704720808E-3</v>
      </c>
      <c r="E23" s="22">
        <v>16199.52218288</v>
      </c>
      <c r="F23" s="22">
        <v>152.04535247800001</v>
      </c>
      <c r="G23" s="30">
        <f t="shared" si="1"/>
        <v>9.3857924179198797E-3</v>
      </c>
      <c r="H23" s="23">
        <v>17370.324115348001</v>
      </c>
      <c r="I23" s="23">
        <v>155.82263427000001</v>
      </c>
      <c r="J23" s="31">
        <f t="shared" si="2"/>
        <v>8.970623301859916E-3</v>
      </c>
      <c r="K23" s="24">
        <v>22241.270099770001</v>
      </c>
      <c r="L23" s="13">
        <v>235.03501033399999</v>
      </c>
      <c r="M23" s="32">
        <f t="shared" si="3"/>
        <v>1.0567517469986146E-2</v>
      </c>
      <c r="N23" s="25">
        <v>22728.090910633</v>
      </c>
      <c r="O23" s="17">
        <v>246.83783190400001</v>
      </c>
      <c r="P23" s="33">
        <f t="shared" si="4"/>
        <v>1.086047362598856E-2</v>
      </c>
      <c r="Q23" s="76">
        <f t="shared" si="6"/>
        <v>93870.063891474012</v>
      </c>
      <c r="R23" s="34">
        <f t="shared" si="5"/>
        <v>9.838390981130268E-3</v>
      </c>
      <c r="S23" s="35">
        <f t="shared" si="7"/>
        <v>0.48699352333559026</v>
      </c>
    </row>
    <row r="24" spans="1:19">
      <c r="A24" s="20" t="s">
        <v>26</v>
      </c>
      <c r="B24" s="21">
        <v>48718.057002898</v>
      </c>
      <c r="C24" s="21">
        <v>830.998847426</v>
      </c>
      <c r="D24" s="27">
        <f t="shared" si="0"/>
        <v>1.7057306849831221E-2</v>
      </c>
      <c r="E24" s="22">
        <v>52139.937719093003</v>
      </c>
      <c r="F24" s="22">
        <v>1002.855620395</v>
      </c>
      <c r="G24" s="30">
        <f t="shared" si="1"/>
        <v>1.9233924401635152E-2</v>
      </c>
      <c r="H24" s="23">
        <v>55221.278926683997</v>
      </c>
      <c r="I24" s="23">
        <v>995.41496079399997</v>
      </c>
      <c r="J24" s="31">
        <f t="shared" si="2"/>
        <v>1.8025930948024387E-2</v>
      </c>
      <c r="K24" s="24">
        <v>65936.650244826</v>
      </c>
      <c r="L24" s="13">
        <v>1033.80823889</v>
      </c>
      <c r="M24" s="32">
        <f t="shared" si="3"/>
        <v>1.567881041956817E-2</v>
      </c>
      <c r="N24" s="25">
        <v>67931.721072785003</v>
      </c>
      <c r="O24" s="17">
        <v>1107.321065997</v>
      </c>
      <c r="P24" s="33">
        <f t="shared" si="4"/>
        <v>1.6300500686719951E-2</v>
      </c>
      <c r="Q24" s="76">
        <f t="shared" si="6"/>
        <v>289947.64496628603</v>
      </c>
      <c r="R24" s="34">
        <f t="shared" si="5"/>
        <v>1.7142400774042978E-2</v>
      </c>
      <c r="S24" s="35">
        <f t="shared" si="7"/>
        <v>0.84853693732985447</v>
      </c>
    </row>
    <row r="25" spans="1:19">
      <c r="A25" s="20" t="s">
        <v>27</v>
      </c>
      <c r="B25" s="21">
        <v>21116.820378125001</v>
      </c>
      <c r="C25" s="21">
        <v>464.51488065299998</v>
      </c>
      <c r="D25" s="27">
        <f t="shared" si="0"/>
        <v>2.1997387501301702E-2</v>
      </c>
      <c r="E25" s="22">
        <v>22062.522010443001</v>
      </c>
      <c r="F25" s="22">
        <v>523.08154302699995</v>
      </c>
      <c r="G25" s="30">
        <f t="shared" si="1"/>
        <v>2.3709054784371717E-2</v>
      </c>
      <c r="H25" s="23">
        <v>23821.374294767</v>
      </c>
      <c r="I25" s="23">
        <v>569.00062436200005</v>
      </c>
      <c r="J25" s="31">
        <f t="shared" si="2"/>
        <v>2.3886137605713044E-2</v>
      </c>
      <c r="K25" s="24">
        <v>27784.263750624999</v>
      </c>
      <c r="L25" s="13">
        <v>505.50806974</v>
      </c>
      <c r="M25" s="32">
        <f t="shared" si="3"/>
        <v>1.8194042292325588E-2</v>
      </c>
      <c r="N25" s="25">
        <v>28335.200217868001</v>
      </c>
      <c r="O25" s="17">
        <v>508.49092124399999</v>
      </c>
      <c r="P25" s="33">
        <f t="shared" si="4"/>
        <v>1.7945555963403737E-2</v>
      </c>
      <c r="Q25" s="76">
        <f t="shared" si="6"/>
        <v>123120.18065182801</v>
      </c>
      <c r="R25" s="34">
        <f t="shared" si="5"/>
        <v>2.0878754607219083E-2</v>
      </c>
      <c r="S25" s="35">
        <f t="shared" si="7"/>
        <v>1.0334838581359871</v>
      </c>
    </row>
    <row r="26" spans="1:19">
      <c r="A26" s="20" t="s">
        <v>28</v>
      </c>
      <c r="B26" s="21">
        <v>6701.2548162290004</v>
      </c>
      <c r="C26" s="21">
        <v>91.576563117999996</v>
      </c>
      <c r="D26" s="27">
        <f t="shared" si="0"/>
        <v>1.366558437626058E-2</v>
      </c>
      <c r="E26" s="22">
        <v>7187.1625160599997</v>
      </c>
      <c r="F26" s="22">
        <v>86.818659550999996</v>
      </c>
      <c r="G26" s="30">
        <f t="shared" si="1"/>
        <v>1.2079685043575995E-2</v>
      </c>
      <c r="H26" s="23">
        <v>7880.2050234520002</v>
      </c>
      <c r="I26" s="23">
        <v>86.449834248000002</v>
      </c>
      <c r="J26" s="31">
        <f t="shared" si="2"/>
        <v>1.0970505715361428E-2</v>
      </c>
      <c r="K26" s="24">
        <v>9811.8867329290006</v>
      </c>
      <c r="L26" s="13">
        <v>135.17221425100001</v>
      </c>
      <c r="M26" s="32">
        <f t="shared" si="3"/>
        <v>1.3776373283780154E-2</v>
      </c>
      <c r="N26" s="25">
        <v>10056.904675981001</v>
      </c>
      <c r="O26" s="17">
        <v>129.59622849100001</v>
      </c>
      <c r="P26" s="33">
        <f t="shared" si="4"/>
        <v>1.2886293811704896E-2</v>
      </c>
      <c r="Q26" s="76">
        <f t="shared" si="6"/>
        <v>41637.413764651006</v>
      </c>
      <c r="R26" s="34">
        <f t="shared" si="5"/>
        <v>1.2719654074879813E-2</v>
      </c>
      <c r="S26" s="35">
        <f t="shared" si="7"/>
        <v>0.62961404618054584</v>
      </c>
    </row>
    <row r="27" spans="1:19">
      <c r="A27" s="20" t="s">
        <v>29</v>
      </c>
      <c r="B27" s="21">
        <v>3946.4477317269998</v>
      </c>
      <c r="C27" s="21">
        <v>20.108552424999999</v>
      </c>
      <c r="D27" s="27">
        <f t="shared" si="0"/>
        <v>5.095355061550586E-3</v>
      </c>
      <c r="E27" s="22">
        <v>4399.6851726940004</v>
      </c>
      <c r="F27" s="22">
        <v>19.935143761999999</v>
      </c>
      <c r="G27" s="30">
        <f t="shared" si="1"/>
        <v>4.5310386947058261E-3</v>
      </c>
      <c r="H27" s="23">
        <v>4907.990723164</v>
      </c>
      <c r="I27" s="23">
        <v>27.736714112000001</v>
      </c>
      <c r="J27" s="31">
        <f t="shared" si="2"/>
        <v>5.6513379255369025E-3</v>
      </c>
      <c r="K27" s="24">
        <v>6078.4217818879997</v>
      </c>
      <c r="L27" s="13">
        <v>44.933798787999997</v>
      </c>
      <c r="M27" s="32">
        <f t="shared" si="3"/>
        <v>7.3923463030963355E-3</v>
      </c>
      <c r="N27" s="25">
        <v>6189.8656405210004</v>
      </c>
      <c r="O27" s="17">
        <v>49.767423592</v>
      </c>
      <c r="P27" s="33">
        <f t="shared" si="4"/>
        <v>8.0401460196817907E-3</v>
      </c>
      <c r="Q27" s="76">
        <f t="shared" si="6"/>
        <v>25522.411049994</v>
      </c>
      <c r="R27" s="34">
        <f t="shared" si="5"/>
        <v>6.3662336744254493E-3</v>
      </c>
      <c r="S27" s="35">
        <f t="shared" si="7"/>
        <v>0.31512414717329684</v>
      </c>
    </row>
    <row r="28" spans="1:19">
      <c r="A28" s="20" t="s">
        <v>30</v>
      </c>
      <c r="B28" s="21">
        <v>13141.334772454</v>
      </c>
      <c r="C28" s="21">
        <v>141.45832009899999</v>
      </c>
      <c r="D28" s="27">
        <f t="shared" si="0"/>
        <v>1.0764379916377718E-2</v>
      </c>
      <c r="E28" s="22">
        <v>14547.041964675</v>
      </c>
      <c r="F28" s="22">
        <v>135.45744902800001</v>
      </c>
      <c r="G28" s="30">
        <f t="shared" si="1"/>
        <v>9.3116833894433815E-3</v>
      </c>
      <c r="H28" s="23">
        <v>16236.783033307</v>
      </c>
      <c r="I28" s="23">
        <v>150.07460328900001</v>
      </c>
      <c r="J28" s="31">
        <f t="shared" si="2"/>
        <v>9.242877913755913E-3</v>
      </c>
      <c r="K28" s="24">
        <v>20568.901495187001</v>
      </c>
      <c r="L28" s="13">
        <v>163.60299867399999</v>
      </c>
      <c r="M28" s="32">
        <f t="shared" si="3"/>
        <v>7.9539006354949048E-3</v>
      </c>
      <c r="N28" s="25">
        <v>20935.827850361999</v>
      </c>
      <c r="O28" s="17">
        <v>174.57989425</v>
      </c>
      <c r="P28" s="33">
        <f t="shared" si="4"/>
        <v>8.338810172580844E-3</v>
      </c>
      <c r="Q28" s="76">
        <f t="shared" si="6"/>
        <v>85429.889115985003</v>
      </c>
      <c r="R28" s="34">
        <f t="shared" si="5"/>
        <v>8.9567395352831668E-3</v>
      </c>
      <c r="S28" s="35">
        <f t="shared" si="7"/>
        <v>0.44335238884617084</v>
      </c>
    </row>
    <row r="29" spans="1:19">
      <c r="A29" s="20" t="s">
        <v>31</v>
      </c>
      <c r="B29" s="21">
        <v>17594.629123187999</v>
      </c>
      <c r="C29" s="21">
        <v>153.47393484299999</v>
      </c>
      <c r="D29" s="27">
        <f t="shared" si="0"/>
        <v>8.7227718054446717E-3</v>
      </c>
      <c r="E29" s="22">
        <v>19108.415920377</v>
      </c>
      <c r="F29" s="22">
        <v>165.47284316400001</v>
      </c>
      <c r="G29" s="30">
        <f t="shared" si="1"/>
        <v>8.6596839766053882E-3</v>
      </c>
      <c r="H29" s="23">
        <v>20899.056867407999</v>
      </c>
      <c r="I29" s="23">
        <v>164.421197202</v>
      </c>
      <c r="J29" s="31">
        <f t="shared" si="2"/>
        <v>7.8673979522211959E-3</v>
      </c>
      <c r="K29" s="24">
        <v>27845.913232520001</v>
      </c>
      <c r="L29" s="13">
        <v>215.60849883200001</v>
      </c>
      <c r="M29" s="32">
        <f t="shared" si="3"/>
        <v>7.7429135482689239E-3</v>
      </c>
      <c r="N29" s="25">
        <v>28287.667052707999</v>
      </c>
      <c r="O29" s="17">
        <v>247.362669213</v>
      </c>
      <c r="P29" s="33">
        <f t="shared" si="4"/>
        <v>8.7445411723806252E-3</v>
      </c>
      <c r="Q29" s="76">
        <f t="shared" si="6"/>
        <v>113735.682196201</v>
      </c>
      <c r="R29" s="34">
        <f t="shared" si="5"/>
        <v>8.3205123052016976E-3</v>
      </c>
      <c r="S29" s="35">
        <f t="shared" si="7"/>
        <v>0.411859582653199</v>
      </c>
    </row>
    <row r="30" spans="1:19">
      <c r="A30" s="20" t="s">
        <v>32</v>
      </c>
      <c r="B30" s="21">
        <v>28372.125459952</v>
      </c>
      <c r="C30" s="21">
        <v>370.16496114300003</v>
      </c>
      <c r="D30" s="27">
        <f t="shared" si="0"/>
        <v>1.3046782894904987E-2</v>
      </c>
      <c r="E30" s="22">
        <v>29932.634220440999</v>
      </c>
      <c r="F30" s="22">
        <v>427.51029602599999</v>
      </c>
      <c r="G30" s="30">
        <f t="shared" si="1"/>
        <v>1.4282414734285336E-2</v>
      </c>
      <c r="H30" s="23">
        <v>31727.291770196</v>
      </c>
      <c r="I30" s="23">
        <v>480.16309241599998</v>
      </c>
      <c r="J30" s="31">
        <f t="shared" si="2"/>
        <v>1.5134071193150366E-2</v>
      </c>
      <c r="K30" s="24">
        <v>31781.548335562999</v>
      </c>
      <c r="L30" s="13">
        <v>439.76402331100002</v>
      </c>
      <c r="M30" s="32">
        <f t="shared" si="3"/>
        <v>1.3837086181824306E-2</v>
      </c>
      <c r="N30" s="25">
        <v>32047.179742476001</v>
      </c>
      <c r="O30" s="17">
        <v>436.02263042099997</v>
      </c>
      <c r="P30" s="33">
        <f t="shared" si="4"/>
        <v>1.3605647483640704E-2</v>
      </c>
      <c r="Q30" s="76">
        <f t="shared" si="6"/>
        <v>153860.77952862799</v>
      </c>
      <c r="R30" s="34">
        <f t="shared" si="5"/>
        <v>1.3997231847615119E-2</v>
      </c>
      <c r="S30" s="35">
        <f t="shared" si="7"/>
        <v>0.69285325898199979</v>
      </c>
    </row>
    <row r="31" spans="1:19">
      <c r="A31" s="20" t="s">
        <v>33</v>
      </c>
      <c r="B31" s="21">
        <v>15391.626281065999</v>
      </c>
      <c r="C31" s="21">
        <v>106.297920311</v>
      </c>
      <c r="D31" s="27">
        <f t="shared" si="0"/>
        <v>6.9062175997452804E-3</v>
      </c>
      <c r="E31" s="22">
        <v>17460.843478883999</v>
      </c>
      <c r="F31" s="22">
        <v>115.09067671</v>
      </c>
      <c r="G31" s="30">
        <f t="shared" si="1"/>
        <v>6.591358364169699E-3</v>
      </c>
      <c r="H31" s="23">
        <v>19338.210858503</v>
      </c>
      <c r="I31" s="23">
        <v>121.08658601899999</v>
      </c>
      <c r="J31" s="31">
        <f t="shared" si="2"/>
        <v>6.2615195844634352E-3</v>
      </c>
      <c r="K31" s="24">
        <v>24850.614763297999</v>
      </c>
      <c r="L31" s="13">
        <v>149.65510541899999</v>
      </c>
      <c r="M31" s="32">
        <f t="shared" si="3"/>
        <v>6.02218926350371E-3</v>
      </c>
      <c r="N31" s="25">
        <v>25087.341775086999</v>
      </c>
      <c r="O31" s="17">
        <v>164.35367628200001</v>
      </c>
      <c r="P31" s="33">
        <f t="shared" si="4"/>
        <v>6.5512591073005402E-3</v>
      </c>
      <c r="Q31" s="76">
        <f t="shared" si="6"/>
        <v>102128.637156838</v>
      </c>
      <c r="R31" s="34">
        <f t="shared" si="5"/>
        <v>6.4280106248049088E-3</v>
      </c>
      <c r="S31" s="35">
        <f t="shared" si="7"/>
        <v>0.31818206332888799</v>
      </c>
    </row>
    <row r="32" spans="1:19">
      <c r="A32" s="20" t="s">
        <v>34</v>
      </c>
      <c r="B32" s="21">
        <v>6281.6556050870004</v>
      </c>
      <c r="C32" s="21">
        <v>40.143797423999999</v>
      </c>
      <c r="D32" s="27">
        <f t="shared" si="0"/>
        <v>6.3906396574003217E-3</v>
      </c>
      <c r="E32" s="22">
        <v>6767.7360665099995</v>
      </c>
      <c r="F32" s="22">
        <v>43.712004878000002</v>
      </c>
      <c r="G32" s="30">
        <f t="shared" si="1"/>
        <v>6.4588814410638656E-3</v>
      </c>
      <c r="H32" s="23">
        <v>7594.4508942210005</v>
      </c>
      <c r="I32" s="23">
        <v>52.851117833000004</v>
      </c>
      <c r="J32" s="31">
        <f t="shared" si="2"/>
        <v>6.9591756624849703E-3</v>
      </c>
      <c r="K32" s="24">
        <v>9214.8848440940001</v>
      </c>
      <c r="L32" s="13">
        <v>110.50493209299999</v>
      </c>
      <c r="M32" s="32">
        <f t="shared" si="3"/>
        <v>1.1992003585788136E-2</v>
      </c>
      <c r="N32" s="25">
        <v>9313.0669045260001</v>
      </c>
      <c r="O32" s="17">
        <v>112.74384136400001</v>
      </c>
      <c r="P32" s="33">
        <f t="shared" si="4"/>
        <v>1.2105984260588563E-2</v>
      </c>
      <c r="Q32" s="76">
        <f t="shared" si="6"/>
        <v>39171.794314438004</v>
      </c>
      <c r="R32" s="34">
        <f t="shared" si="5"/>
        <v>9.1891551023315504E-3</v>
      </c>
      <c r="S32" s="35">
        <f t="shared" si="7"/>
        <v>0.45485679806227303</v>
      </c>
    </row>
    <row r="33" spans="1:19">
      <c r="A33" s="20" t="s">
        <v>35</v>
      </c>
      <c r="B33" s="21">
        <v>12850.821910593</v>
      </c>
      <c r="C33" s="21">
        <v>516.75003405999996</v>
      </c>
      <c r="D33" s="27">
        <f t="shared" si="0"/>
        <v>4.0211438432123957E-2</v>
      </c>
      <c r="E33" s="22">
        <v>14142.475155251001</v>
      </c>
      <c r="F33" s="22">
        <v>256.18558067100003</v>
      </c>
      <c r="G33" s="30">
        <f t="shared" si="1"/>
        <v>1.8114621228511062E-2</v>
      </c>
      <c r="H33" s="23">
        <v>15530.501808785</v>
      </c>
      <c r="I33" s="23">
        <v>182.74474069199999</v>
      </c>
      <c r="J33" s="31">
        <f t="shared" si="2"/>
        <v>1.1766827816769476E-2</v>
      </c>
      <c r="K33" s="24">
        <v>19718.887451959999</v>
      </c>
      <c r="L33" s="13">
        <v>214.12286179399999</v>
      </c>
      <c r="M33" s="32">
        <f t="shared" si="3"/>
        <v>1.0858769913650316E-2</v>
      </c>
      <c r="N33" s="25">
        <v>20464.584367314001</v>
      </c>
      <c r="O33" s="17">
        <v>247.00462369799999</v>
      </c>
      <c r="P33" s="33">
        <f t="shared" si="4"/>
        <v>1.2069857821911856E-2</v>
      </c>
      <c r="Q33" s="76">
        <f t="shared" si="6"/>
        <v>82707.270693903003</v>
      </c>
      <c r="R33" s="34">
        <f t="shared" si="5"/>
        <v>1.7130390460574636E-2</v>
      </c>
      <c r="S33" s="35">
        <f t="shared" si="7"/>
        <v>0.84794243515124312</v>
      </c>
    </row>
    <row r="34" spans="1:19">
      <c r="A34" s="20" t="s">
        <v>36</v>
      </c>
      <c r="B34" s="21">
        <v>5239.098442683</v>
      </c>
      <c r="C34" s="21">
        <v>30.885483776000001</v>
      </c>
      <c r="D34" s="27">
        <f t="shared" si="0"/>
        <v>5.8951905779008815E-3</v>
      </c>
      <c r="E34" s="22">
        <v>5797.403532112</v>
      </c>
      <c r="F34" s="22">
        <v>31.267993068999999</v>
      </c>
      <c r="G34" s="30">
        <f t="shared" si="1"/>
        <v>5.3934477556729669E-3</v>
      </c>
      <c r="H34" s="23">
        <v>6665.8825284659997</v>
      </c>
      <c r="I34" s="23">
        <v>38.864527318999997</v>
      </c>
      <c r="J34" s="31">
        <f t="shared" si="2"/>
        <v>5.8303648696227143E-3</v>
      </c>
      <c r="K34" s="24">
        <v>9238.2765080209992</v>
      </c>
      <c r="L34" s="13">
        <v>86.452424502</v>
      </c>
      <c r="M34" s="32">
        <f t="shared" si="3"/>
        <v>9.358068512772804E-3</v>
      </c>
      <c r="N34" s="25">
        <v>9360.8947064860004</v>
      </c>
      <c r="O34" s="17">
        <v>97.049176611999997</v>
      </c>
      <c r="P34" s="33">
        <f t="shared" si="4"/>
        <v>1.0367510762059563E-2</v>
      </c>
      <c r="Q34" s="76">
        <f t="shared" si="6"/>
        <v>36301.555717768002</v>
      </c>
      <c r="R34" s="34">
        <f t="shared" si="5"/>
        <v>7.8376697541571259E-3</v>
      </c>
      <c r="S34" s="35">
        <f t="shared" si="7"/>
        <v>0.38795921158637164</v>
      </c>
    </row>
    <row r="35" spans="1:19">
      <c r="A35" s="20" t="s">
        <v>37</v>
      </c>
      <c r="B35" s="21">
        <v>5769.1754911349999</v>
      </c>
      <c r="C35" s="21">
        <v>78.618225664999997</v>
      </c>
      <c r="D35" s="27">
        <f t="shared" si="0"/>
        <v>1.3627289685641548E-2</v>
      </c>
      <c r="E35" s="22">
        <v>6730.8224422080002</v>
      </c>
      <c r="F35" s="22">
        <v>184.38056117900001</v>
      </c>
      <c r="G35" s="30">
        <f t="shared" si="1"/>
        <v>2.7393466810649553E-2</v>
      </c>
      <c r="H35" s="23">
        <v>7744.3802233670003</v>
      </c>
      <c r="I35" s="23">
        <v>210.38560374599999</v>
      </c>
      <c r="J35" s="31">
        <f t="shared" si="2"/>
        <v>2.7166228630046689E-2</v>
      </c>
      <c r="K35" s="24">
        <v>9836.6210233689999</v>
      </c>
      <c r="L35" s="13">
        <v>236.66161353499999</v>
      </c>
      <c r="M35" s="32">
        <f t="shared" si="3"/>
        <v>2.4059238733784665E-2</v>
      </c>
      <c r="N35" s="25">
        <v>10082.534528095</v>
      </c>
      <c r="O35" s="17">
        <v>244.60293708200001</v>
      </c>
      <c r="P35" s="33">
        <f t="shared" si="4"/>
        <v>2.4260064411424875E-2</v>
      </c>
      <c r="Q35" s="76">
        <f t="shared" si="6"/>
        <v>40163.533708174</v>
      </c>
      <c r="R35" s="34">
        <f t="shared" si="5"/>
        <v>2.3769047518164763E-2</v>
      </c>
      <c r="S35" s="35">
        <f t="shared" si="7"/>
        <v>1.1765513506632674</v>
      </c>
    </row>
    <row r="36" spans="1:19">
      <c r="A36" s="20" t="s">
        <v>38</v>
      </c>
      <c r="B36" s="21">
        <v>11.740634700999999</v>
      </c>
      <c r="C36" s="21">
        <v>0</v>
      </c>
      <c r="D36" s="27">
        <f t="shared" si="0"/>
        <v>0</v>
      </c>
      <c r="E36" s="22">
        <v>84.174323573999999</v>
      </c>
      <c r="F36" s="22">
        <v>0</v>
      </c>
      <c r="G36" s="30">
        <f t="shared" si="1"/>
        <v>0</v>
      </c>
      <c r="H36" s="23">
        <v>967.60024564800005</v>
      </c>
      <c r="I36" s="23">
        <v>1.8697417199999999</v>
      </c>
      <c r="J36" s="31">
        <f t="shared" si="2"/>
        <v>1.9323493647398131E-3</v>
      </c>
      <c r="K36" s="24">
        <v>1114.316129091</v>
      </c>
      <c r="L36" s="13">
        <v>8.394947106</v>
      </c>
      <c r="M36" s="32">
        <f t="shared" si="3"/>
        <v>7.5337212545313805E-3</v>
      </c>
      <c r="N36" s="25">
        <v>1222.4428618479999</v>
      </c>
      <c r="O36" s="17">
        <v>9.0678001449999996</v>
      </c>
      <c r="P36" s="33">
        <f t="shared" si="4"/>
        <v>7.417770128979248E-3</v>
      </c>
      <c r="Q36" s="76">
        <f t="shared" si="6"/>
        <v>3400.2741948619996</v>
      </c>
      <c r="R36" s="34">
        <f t="shared" si="5"/>
        <v>5.6855676522241791E-3</v>
      </c>
      <c r="S36" s="35">
        <f t="shared" si="7"/>
        <v>0.28143165162169836</v>
      </c>
    </row>
    <row r="38" spans="1:19">
      <c r="R38" s="37" t="s">
        <v>71</v>
      </c>
      <c r="S38" s="38">
        <f>+R5</f>
        <v>2.0202303541418089E-2</v>
      </c>
    </row>
  </sheetData>
  <mergeCells count="9">
    <mergeCell ref="R1:R2"/>
    <mergeCell ref="S1:S2"/>
    <mergeCell ref="A1:A2"/>
    <mergeCell ref="B1:D1"/>
    <mergeCell ref="E1:G1"/>
    <mergeCell ref="H1:J1"/>
    <mergeCell ref="K1:M1"/>
    <mergeCell ref="N1:P1"/>
    <mergeCell ref="Q1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0C5D-6406-4584-99F3-9B1B0A7E5B71}">
  <dimension ref="A1:S6"/>
  <sheetViews>
    <sheetView topLeftCell="J1" zoomScale="130" zoomScaleNormal="130" workbookViewId="0">
      <selection activeCell="A3" sqref="A3:XFD3"/>
    </sheetView>
  </sheetViews>
  <sheetFormatPr defaultRowHeight="14.5"/>
  <cols>
    <col min="1" max="1" width="34.54296875" bestFit="1" customWidth="1"/>
    <col min="2" max="2" width="12.6328125" bestFit="1" customWidth="1"/>
    <col min="3" max="3" width="10.26953125" bestFit="1" customWidth="1"/>
    <col min="4" max="4" width="10.08984375" style="41" bestFit="1" customWidth="1"/>
    <col min="5" max="5" width="12.6328125" bestFit="1" customWidth="1"/>
    <col min="6" max="6" width="10.26953125" bestFit="1" customWidth="1"/>
    <col min="7" max="7" width="10.08984375" bestFit="1" customWidth="1"/>
    <col min="8" max="8" width="12.6328125" bestFit="1" customWidth="1"/>
    <col min="9" max="9" width="10.26953125" bestFit="1" customWidth="1"/>
    <col min="10" max="10" width="10.08984375" bestFit="1" customWidth="1"/>
    <col min="11" max="11" width="12.6328125" bestFit="1" customWidth="1"/>
    <col min="12" max="12" width="10.26953125" bestFit="1" customWidth="1"/>
    <col min="13" max="13" width="11.08984375" bestFit="1" customWidth="1"/>
    <col min="14" max="14" width="12.6328125" bestFit="1" customWidth="1"/>
    <col min="15" max="15" width="10.26953125" bestFit="1" customWidth="1"/>
    <col min="16" max="16" width="11.08984375" bestFit="1" customWidth="1"/>
    <col min="17" max="17" width="16" bestFit="1" customWidth="1"/>
    <col min="18" max="18" width="11.08984375" style="43" bestFit="1" customWidth="1"/>
    <col min="19" max="19" width="15.6328125" style="43" bestFit="1" customWidth="1"/>
  </cols>
  <sheetData>
    <row r="1" spans="1:19" ht="14.5" customHeight="1">
      <c r="A1" s="84" t="s">
        <v>41</v>
      </c>
      <c r="B1" s="90" t="s">
        <v>39</v>
      </c>
      <c r="C1" s="90"/>
      <c r="D1" s="90"/>
      <c r="E1" s="91" t="s">
        <v>39</v>
      </c>
      <c r="F1" s="91"/>
      <c r="G1" s="91"/>
      <c r="H1" s="92" t="s">
        <v>39</v>
      </c>
      <c r="I1" s="92"/>
      <c r="J1" s="92"/>
      <c r="K1" s="93" t="s">
        <v>39</v>
      </c>
      <c r="L1" s="94"/>
      <c r="M1" s="94"/>
      <c r="N1" s="95" t="s">
        <v>39</v>
      </c>
      <c r="O1" s="96"/>
      <c r="P1" s="96"/>
      <c r="Q1" s="98" t="s">
        <v>72</v>
      </c>
      <c r="R1" s="97" t="s">
        <v>3</v>
      </c>
      <c r="S1" s="88" t="s">
        <v>4</v>
      </c>
    </row>
    <row r="2" spans="1:19">
      <c r="A2" s="85"/>
      <c r="B2" s="1" t="s">
        <v>0</v>
      </c>
      <c r="C2" s="1" t="s">
        <v>1</v>
      </c>
      <c r="D2" s="2" t="s">
        <v>2</v>
      </c>
      <c r="E2" s="4" t="s">
        <v>0</v>
      </c>
      <c r="F2" s="4" t="s">
        <v>1</v>
      </c>
      <c r="G2" s="5" t="s">
        <v>2</v>
      </c>
      <c r="H2" s="7" t="s">
        <v>0</v>
      </c>
      <c r="I2" s="7" t="s">
        <v>1</v>
      </c>
      <c r="J2" s="8" t="s">
        <v>2</v>
      </c>
      <c r="K2" s="10" t="s">
        <v>0</v>
      </c>
      <c r="L2" s="10" t="s">
        <v>1</v>
      </c>
      <c r="M2" s="11" t="s">
        <v>2</v>
      </c>
      <c r="N2" s="14" t="s">
        <v>0</v>
      </c>
      <c r="O2" s="14" t="s">
        <v>1</v>
      </c>
      <c r="P2" s="15" t="s">
        <v>2</v>
      </c>
      <c r="Q2" s="98"/>
      <c r="R2" s="97"/>
      <c r="S2" s="88"/>
    </row>
    <row r="3" spans="1:19" s="61" customFormat="1">
      <c r="A3" s="62" t="s">
        <v>42</v>
      </c>
      <c r="B3" s="63">
        <v>1963039.3615282988</v>
      </c>
      <c r="C3" s="63">
        <v>48995.488467536998</v>
      </c>
      <c r="D3" s="52">
        <f t="shared" ref="D3:D6" si="0">IFERROR((C3/B3),0)</f>
        <v>2.495899441842684E-2</v>
      </c>
      <c r="E3" s="64">
        <v>2239600.02992803</v>
      </c>
      <c r="F3" s="64">
        <v>50819.282702605</v>
      </c>
      <c r="G3" s="65">
        <f t="shared" ref="G3:G6" si="1">IFERROR((F3/E3),0)</f>
        <v>2.2691231480398796E-2</v>
      </c>
      <c r="H3" s="66">
        <v>2430772.8824603828</v>
      </c>
      <c r="I3" s="66">
        <v>62226.044946305003</v>
      </c>
      <c r="J3" s="67">
        <f t="shared" ref="J3:J6" si="2">IFERROR((I3/H3),0)</f>
        <v>2.5599283830795811E-2</v>
      </c>
      <c r="K3" s="68">
        <v>3241987.0240341621</v>
      </c>
      <c r="L3" s="68">
        <v>70481.498008998999</v>
      </c>
      <c r="M3" s="69">
        <f t="shared" ref="M3:M6" si="3">IFERROR((L3/K3),0)</f>
        <v>2.1740215949814456E-2</v>
      </c>
      <c r="N3" s="70">
        <v>3314117.9125360642</v>
      </c>
      <c r="O3" s="70">
        <v>74086.404889254001</v>
      </c>
      <c r="P3" s="71">
        <f t="shared" ref="P3:P6" si="4">IFERROR((O3/N3),0)</f>
        <v>2.2354788466944081E-2</v>
      </c>
      <c r="Q3" s="78">
        <f>+B3+E3+H3+K3+N3</f>
        <v>13189517.210486937</v>
      </c>
      <c r="R3" s="72">
        <f>SUM(C3,F3,I3,L3,O3)/SUM(B3,E3,H3,K3,N3)</f>
        <v>2.3246394399555163E-2</v>
      </c>
      <c r="S3" s="73">
        <f>R3/R$5*S$5</f>
        <v>0.95789083750640558</v>
      </c>
    </row>
    <row r="4" spans="1:19">
      <c r="A4" s="18" t="s">
        <v>43</v>
      </c>
      <c r="B4" s="3">
        <v>390372.15600004001</v>
      </c>
      <c r="C4" s="3">
        <v>12592.427096158</v>
      </c>
      <c r="D4" s="27">
        <f t="shared" si="0"/>
        <v>3.2257493016885942E-2</v>
      </c>
      <c r="E4" s="6">
        <v>421654.95060754102</v>
      </c>
      <c r="F4" s="6">
        <v>11290.600478692999</v>
      </c>
      <c r="G4" s="44">
        <f t="shared" si="1"/>
        <v>2.6776871616057043E-2</v>
      </c>
      <c r="H4" s="9">
        <v>464434.10562525596</v>
      </c>
      <c r="I4" s="9">
        <v>12174.584208208998</v>
      </c>
      <c r="J4" s="45">
        <f t="shared" si="2"/>
        <v>2.6213803122444382E-2</v>
      </c>
      <c r="K4" s="12">
        <v>606679.90861273103</v>
      </c>
      <c r="L4" s="12">
        <v>13229.217766692</v>
      </c>
      <c r="M4" s="46">
        <f t="shared" si="3"/>
        <v>2.1805926945796979E-2</v>
      </c>
      <c r="N4" s="16">
        <v>609927.27598201297</v>
      </c>
      <c r="O4" s="16">
        <v>14838.538939496</v>
      </c>
      <c r="P4" s="47">
        <f t="shared" si="4"/>
        <v>2.4328374092805114E-2</v>
      </c>
      <c r="Q4" s="79">
        <f t="shared" ref="Q4:Q6" si="5">+B4+E4+H4+K4+N4</f>
        <v>2493068.3968275809</v>
      </c>
      <c r="R4" s="48">
        <f>SUM(C4,F4,I4,L4,O4)/SUM(B4,E4,H4,K4,N4)</f>
        <v>2.5721463787695222E-2</v>
      </c>
      <c r="S4" s="49">
        <f>R4/R$5*S$5</f>
        <v>1.0598785371187514</v>
      </c>
    </row>
    <row r="5" spans="1:19">
      <c r="A5" s="62" t="s">
        <v>44</v>
      </c>
      <c r="B5" s="3">
        <v>2184118.9451095411</v>
      </c>
      <c r="C5" s="3">
        <v>58448.634167310993</v>
      </c>
      <c r="D5" s="27">
        <f t="shared" si="0"/>
        <v>2.6760737687012551E-2</v>
      </c>
      <c r="E5" s="6">
        <v>2388632.4254922695</v>
      </c>
      <c r="F5" s="6">
        <v>58956.470052185003</v>
      </c>
      <c r="G5" s="44">
        <f t="shared" si="1"/>
        <v>2.4682102370788488E-2</v>
      </c>
      <c r="H5" s="9">
        <v>2491518.331705966</v>
      </c>
      <c r="I5" s="9">
        <v>63614.903574145006</v>
      </c>
      <c r="J5" s="45">
        <f t="shared" si="2"/>
        <v>2.5532584996309171E-2</v>
      </c>
      <c r="K5" s="12">
        <v>3067241.745204106</v>
      </c>
      <c r="L5" s="12">
        <v>69268.625683519</v>
      </c>
      <c r="M5" s="46">
        <f t="shared" si="3"/>
        <v>2.2583360373151676E-2</v>
      </c>
      <c r="N5" s="16">
        <v>3138184.3303620322</v>
      </c>
      <c r="O5" s="16">
        <v>71744.493405637011</v>
      </c>
      <c r="P5" s="47">
        <f t="shared" si="4"/>
        <v>2.2861784348199937E-2</v>
      </c>
      <c r="Q5" s="80">
        <f t="shared" si="5"/>
        <v>13269695.777873915</v>
      </c>
      <c r="R5" s="42">
        <f>SUM(C5,F5,I5,L5,O5)/SUM(B5,E5,H5,K5,N5)</f>
        <v>2.4268312723473264E-2</v>
      </c>
      <c r="S5" s="81">
        <v>1</v>
      </c>
    </row>
    <row r="6" spans="1:19">
      <c r="A6" s="18" t="s">
        <v>45</v>
      </c>
      <c r="B6" s="3">
        <v>200413.51517493199</v>
      </c>
      <c r="C6" s="3">
        <v>2885.0910716870003</v>
      </c>
      <c r="D6" s="40">
        <f t="shared" si="0"/>
        <v>1.4395691174663213E-2</v>
      </c>
      <c r="E6" s="6">
        <v>244994.47314836</v>
      </c>
      <c r="F6" s="6">
        <v>4197.1669127330006</v>
      </c>
      <c r="G6" s="44">
        <f t="shared" si="1"/>
        <v>1.7131679987700557E-2</v>
      </c>
      <c r="H6" s="9">
        <v>230266.27782761803</v>
      </c>
      <c r="I6" s="9">
        <v>3818.8435940290005</v>
      </c>
      <c r="J6" s="45">
        <f t="shared" si="2"/>
        <v>1.6584467469821455E-2</v>
      </c>
      <c r="K6" s="12">
        <v>174334.718662297</v>
      </c>
      <c r="L6" s="12">
        <v>1997.644295611</v>
      </c>
      <c r="M6" s="46">
        <f t="shared" si="3"/>
        <v>1.1458671634309558E-2</v>
      </c>
      <c r="N6" s="16">
        <v>182407.516603264</v>
      </c>
      <c r="O6" s="16">
        <v>2590.2450261799995</v>
      </c>
      <c r="P6" s="47">
        <f t="shared" si="4"/>
        <v>1.4200319561467292E-2</v>
      </c>
      <c r="Q6" s="79">
        <f t="shared" si="5"/>
        <v>1032416.5014164711</v>
      </c>
      <c r="R6" s="48">
        <f>SUM(C6,F6,I6,L6,O6)/SUM(B6,E6,H6,K6,N6)</f>
        <v>1.5002657240550854E-2</v>
      </c>
      <c r="S6" s="49">
        <f>R6/R$5*S$5</f>
        <v>0.61819943609180938</v>
      </c>
    </row>
  </sheetData>
  <mergeCells count="9">
    <mergeCell ref="R1:R2"/>
    <mergeCell ref="S1:S2"/>
    <mergeCell ref="A1:A2"/>
    <mergeCell ref="B1:D1"/>
    <mergeCell ref="E1:G1"/>
    <mergeCell ref="H1:J1"/>
    <mergeCell ref="K1:M1"/>
    <mergeCell ref="N1:P1"/>
    <mergeCell ref="Q1: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22B2-00EB-48B1-B87B-EFDEDEE22260}">
  <dimension ref="A1:S26"/>
  <sheetViews>
    <sheetView tabSelected="1" zoomScale="115" zoomScaleNormal="115" workbookViewId="0">
      <selection activeCell="A14" sqref="A14:XFD14"/>
    </sheetView>
  </sheetViews>
  <sheetFormatPr defaultRowHeight="14.5"/>
  <cols>
    <col min="1" max="1" width="59.6328125" bestFit="1" customWidth="1"/>
    <col min="2" max="2" width="12.7265625" bestFit="1" customWidth="1"/>
    <col min="3" max="3" width="7.81640625" bestFit="1" customWidth="1"/>
    <col min="4" max="4" width="7.90625" style="43" bestFit="1" customWidth="1"/>
    <col min="5" max="5" width="12.7265625" bestFit="1" customWidth="1"/>
    <col min="6" max="6" width="7.81640625" bestFit="1" customWidth="1"/>
    <col min="7" max="7" width="7.90625" style="43" bestFit="1" customWidth="1"/>
    <col min="8" max="8" width="12.7265625" bestFit="1" customWidth="1"/>
    <col min="9" max="9" width="7.81640625" bestFit="1" customWidth="1"/>
    <col min="10" max="10" width="7.90625" style="43" bestFit="1" customWidth="1"/>
    <col min="11" max="11" width="12.7265625" bestFit="1" customWidth="1"/>
    <col min="12" max="12" width="7.6328125" bestFit="1" customWidth="1"/>
    <col min="13" max="13" width="7.90625" style="43" bestFit="1" customWidth="1"/>
    <col min="14" max="14" width="12.7265625" bestFit="1" customWidth="1"/>
    <col min="15" max="15" width="7.6328125" bestFit="1" customWidth="1"/>
    <col min="16" max="16" width="7.90625" style="43" bestFit="1" customWidth="1"/>
    <col min="17" max="17" width="13.26953125" style="43" customWidth="1"/>
    <col min="18" max="19" width="10.1796875" style="43" customWidth="1"/>
  </cols>
  <sheetData>
    <row r="1" spans="1:19">
      <c r="A1" s="84" t="s">
        <v>70</v>
      </c>
      <c r="B1" s="90" t="s">
        <v>39</v>
      </c>
      <c r="C1" s="90"/>
      <c r="D1" s="90"/>
      <c r="E1" s="91" t="s">
        <v>39</v>
      </c>
      <c r="F1" s="91"/>
      <c r="G1" s="91"/>
      <c r="H1" s="92" t="s">
        <v>39</v>
      </c>
      <c r="I1" s="92"/>
      <c r="J1" s="92"/>
      <c r="K1" s="93" t="s">
        <v>39</v>
      </c>
      <c r="L1" s="94"/>
      <c r="M1" s="94"/>
      <c r="N1" s="95" t="s">
        <v>39</v>
      </c>
      <c r="O1" s="96"/>
      <c r="P1" s="96"/>
      <c r="Q1" s="98" t="s">
        <v>72</v>
      </c>
      <c r="R1" s="98" t="s">
        <v>3</v>
      </c>
      <c r="S1" s="88" t="s">
        <v>4</v>
      </c>
    </row>
    <row r="2" spans="1:19">
      <c r="A2" s="85"/>
      <c r="B2" s="1" t="s">
        <v>0</v>
      </c>
      <c r="C2" s="1" t="s">
        <v>1</v>
      </c>
      <c r="D2" s="2" t="s">
        <v>2</v>
      </c>
      <c r="E2" s="4" t="s">
        <v>0</v>
      </c>
      <c r="F2" s="4" t="s">
        <v>1</v>
      </c>
      <c r="G2" s="5" t="s">
        <v>2</v>
      </c>
      <c r="H2" s="7" t="s">
        <v>0</v>
      </c>
      <c r="I2" s="7" t="s">
        <v>1</v>
      </c>
      <c r="J2" s="8" t="s">
        <v>2</v>
      </c>
      <c r="K2" s="10" t="s">
        <v>0</v>
      </c>
      <c r="L2" s="10" t="s">
        <v>1</v>
      </c>
      <c r="M2" s="11" t="s">
        <v>2</v>
      </c>
      <c r="N2" s="14" t="s">
        <v>0</v>
      </c>
      <c r="O2" s="14" t="s">
        <v>1</v>
      </c>
      <c r="P2" s="15" t="s">
        <v>2</v>
      </c>
      <c r="Q2" s="98"/>
      <c r="R2" s="98"/>
      <c r="S2" s="88"/>
    </row>
    <row r="3" spans="1:19">
      <c r="A3" s="20" t="s">
        <v>46</v>
      </c>
      <c r="B3" s="21">
        <v>317379.32841161301</v>
      </c>
      <c r="C3" s="21">
        <v>4332.1555173219976</v>
      </c>
      <c r="D3" s="27">
        <f t="shared" ref="D3" si="0">IFERROR((C3/B3),0)</f>
        <v>1.3649772148057399E-2</v>
      </c>
      <c r="E3" s="22">
        <v>354878.08084633591</v>
      </c>
      <c r="F3" s="22">
        <v>4672.1349491460014</v>
      </c>
      <c r="G3" s="30">
        <f t="shared" ref="G3:G26" si="1">IFERROR((F3/E3),0)</f>
        <v>1.3165464990127301E-2</v>
      </c>
      <c r="H3" s="23">
        <v>369903.176603575</v>
      </c>
      <c r="I3" s="23">
        <v>5641.8864822309988</v>
      </c>
      <c r="J3" s="31">
        <f t="shared" ref="J3:J26" si="2">IFERROR((I3/H3),0)</f>
        <v>1.5252333148459023E-2</v>
      </c>
      <c r="K3" s="24">
        <v>497658.38934545103</v>
      </c>
      <c r="L3" s="13">
        <v>9270.5886593610012</v>
      </c>
      <c r="M3" s="32">
        <f t="shared" ref="M3:M26" si="3">IFERROR((L3/K3),0)</f>
        <v>1.8628418324373498E-2</v>
      </c>
      <c r="N3" s="25">
        <v>504081.25541915704</v>
      </c>
      <c r="O3" s="17">
        <v>9736.2824580890028</v>
      </c>
      <c r="P3" s="33">
        <f t="shared" ref="P3:P26" si="4">IFERROR((O3/N3),0)</f>
        <v>1.9314906780243245E-2</v>
      </c>
      <c r="Q3" s="82">
        <f>+B3+E3+H3+K3+N3</f>
        <v>2043900.2306261319</v>
      </c>
      <c r="R3" s="72">
        <f t="shared" ref="R3:R26" si="5">SUM(C3,F3,I3,L3,O3)/SUM(B3,E3,H3,K3,N3)</f>
        <v>1.6465112906142033E-2</v>
      </c>
      <c r="S3" s="73">
        <f>R3/R$9*S$9</f>
        <v>0.46565262578423977</v>
      </c>
    </row>
    <row r="4" spans="1:19">
      <c r="A4" s="20" t="s">
        <v>47</v>
      </c>
      <c r="B4" s="21">
        <v>11272.848077510997</v>
      </c>
      <c r="C4" s="21">
        <v>302.151575267</v>
      </c>
      <c r="D4" s="27">
        <f t="shared" ref="D4:D8" si="6">IFERROR((C4/B4),0)</f>
        <v>2.6803481532744471E-2</v>
      </c>
      <c r="E4" s="22">
        <v>12136.805884763002</v>
      </c>
      <c r="F4" s="22">
        <v>220.79573190900007</v>
      </c>
      <c r="G4" s="30">
        <f t="shared" si="1"/>
        <v>1.8192243824727828E-2</v>
      </c>
      <c r="H4" s="23">
        <v>14115.437431415001</v>
      </c>
      <c r="I4" s="23">
        <v>750.05354172400007</v>
      </c>
      <c r="J4" s="31">
        <f t="shared" si="2"/>
        <v>5.3137109308047215E-2</v>
      </c>
      <c r="K4" s="24">
        <v>20796.636104051999</v>
      </c>
      <c r="L4" s="13">
        <v>1102.2546713700001</v>
      </c>
      <c r="M4" s="32">
        <f t="shared" si="3"/>
        <v>5.3001584768569268E-2</v>
      </c>
      <c r="N4" s="25">
        <v>20731.859367688001</v>
      </c>
      <c r="O4" s="17">
        <v>1153.0233669239999</v>
      </c>
      <c r="P4" s="33">
        <f t="shared" si="4"/>
        <v>5.5616013328793096E-2</v>
      </c>
      <c r="Q4" s="82">
        <f t="shared" ref="Q4:Q26" si="7">+B4+E4+H4+K4+N4</f>
        <v>79053.586865428995</v>
      </c>
      <c r="R4" s="34">
        <f t="shared" si="5"/>
        <v>4.4631483871821073E-2</v>
      </c>
      <c r="S4" s="73">
        <f t="shared" ref="S4:S8" si="8">R4/R$9*S$9</f>
        <v>1.2622304976607703</v>
      </c>
    </row>
    <row r="5" spans="1:19" s="61" customFormat="1">
      <c r="A5" s="50" t="s">
        <v>48</v>
      </c>
      <c r="B5" s="51">
        <v>113622.34927088498</v>
      </c>
      <c r="C5" s="51">
        <v>7019.1139083799999</v>
      </c>
      <c r="D5" s="27">
        <f t="shared" si="6"/>
        <v>6.1775820984354565E-2</v>
      </c>
      <c r="E5" s="53">
        <v>137912.14052407496</v>
      </c>
      <c r="F5" s="53">
        <v>6422.596449974998</v>
      </c>
      <c r="G5" s="54">
        <f t="shared" si="1"/>
        <v>4.6570203504700314E-2</v>
      </c>
      <c r="H5" s="55">
        <v>134314.90173246901</v>
      </c>
      <c r="I5" s="55">
        <v>4807.8171523010005</v>
      </c>
      <c r="J5" s="56">
        <f t="shared" si="2"/>
        <v>3.5795113500341924E-2</v>
      </c>
      <c r="K5" s="57">
        <v>290468.10902312899</v>
      </c>
      <c r="L5" s="13">
        <v>3564.3408005809993</v>
      </c>
      <c r="M5" s="58">
        <f t="shared" si="3"/>
        <v>1.2271022841606281E-2</v>
      </c>
      <c r="N5" s="59">
        <v>307836.65374358004</v>
      </c>
      <c r="O5" s="17">
        <v>3813.9834584099999</v>
      </c>
      <c r="P5" s="60">
        <f t="shared" si="4"/>
        <v>1.2389633956932723E-2</v>
      </c>
      <c r="Q5" s="82">
        <f t="shared" si="7"/>
        <v>984154.15429413808</v>
      </c>
      <c r="R5" s="72">
        <f t="shared" si="5"/>
        <v>2.6040485281523792E-2</v>
      </c>
      <c r="S5" s="73">
        <f t="shared" si="8"/>
        <v>0.73645534149444358</v>
      </c>
    </row>
    <row r="6" spans="1:19">
      <c r="A6" s="20" t="s">
        <v>49</v>
      </c>
      <c r="B6" s="21">
        <v>824108.81379327283</v>
      </c>
      <c r="C6" s="21">
        <v>22287.156297023001</v>
      </c>
      <c r="D6" s="27">
        <f t="shared" si="6"/>
        <v>2.7043948473791858E-2</v>
      </c>
      <c r="E6" s="22">
        <v>899088.34683477099</v>
      </c>
      <c r="F6" s="22">
        <v>22723.691190968999</v>
      </c>
      <c r="G6" s="30">
        <f t="shared" si="1"/>
        <v>2.5274147163587942E-2</v>
      </c>
      <c r="H6" s="23">
        <v>931727.49829292134</v>
      </c>
      <c r="I6" s="23">
        <v>36191.436156560987</v>
      </c>
      <c r="J6" s="31">
        <f t="shared" si="2"/>
        <v>3.8843370215937249E-2</v>
      </c>
      <c r="K6" s="24">
        <v>1117339.7355261713</v>
      </c>
      <c r="L6" s="13">
        <v>36383.078877965971</v>
      </c>
      <c r="M6" s="32">
        <f t="shared" si="3"/>
        <v>3.2562234852260633E-2</v>
      </c>
      <c r="N6" s="25">
        <v>1128541.139427406</v>
      </c>
      <c r="O6" s="17">
        <v>36310.405502775</v>
      </c>
      <c r="P6" s="33">
        <f t="shared" si="4"/>
        <v>3.2174640546287929E-2</v>
      </c>
      <c r="Q6" s="82">
        <f t="shared" si="7"/>
        <v>4900805.5338745425</v>
      </c>
      <c r="R6" s="34">
        <f t="shared" si="5"/>
        <v>3.1402137253061957E-2</v>
      </c>
      <c r="S6" s="73">
        <f t="shared" si="8"/>
        <v>0.88808912216269842</v>
      </c>
    </row>
    <row r="7" spans="1:19">
      <c r="A7" s="20" t="s">
        <v>50</v>
      </c>
      <c r="B7" s="21">
        <v>146132.72590151709</v>
      </c>
      <c r="C7" s="21">
        <v>1573.1446622200001</v>
      </c>
      <c r="D7" s="27">
        <f t="shared" si="6"/>
        <v>1.0765177016407577E-2</v>
      </c>
      <c r="E7" s="22">
        <v>170189.765262195</v>
      </c>
      <c r="F7" s="22">
        <v>2259.337686334</v>
      </c>
      <c r="G7" s="30">
        <f t="shared" si="1"/>
        <v>1.32754028002404E-2</v>
      </c>
      <c r="H7" s="23">
        <v>198255.08507103508</v>
      </c>
      <c r="I7" s="23">
        <v>1769.6336550819997</v>
      </c>
      <c r="J7" s="31">
        <f t="shared" si="2"/>
        <v>8.926044214441901E-3</v>
      </c>
      <c r="K7" s="24">
        <v>183958.60327417002</v>
      </c>
      <c r="L7" s="13">
        <v>663.9319759010001</v>
      </c>
      <c r="M7" s="32">
        <f t="shared" si="3"/>
        <v>3.6091379477994987E-3</v>
      </c>
      <c r="N7" s="25">
        <v>188931.39620096597</v>
      </c>
      <c r="O7" s="17">
        <v>293.1498909230001</v>
      </c>
      <c r="P7" s="33">
        <f t="shared" si="4"/>
        <v>1.5516208360159319E-3</v>
      </c>
      <c r="Q7" s="82">
        <f t="shared" si="7"/>
        <v>887467.57570988324</v>
      </c>
      <c r="R7" s="34">
        <f t="shared" si="5"/>
        <v>7.3909155105901349E-3</v>
      </c>
      <c r="S7" s="73">
        <f t="shared" si="8"/>
        <v>0.20902372392307925</v>
      </c>
    </row>
    <row r="8" spans="1:19">
      <c r="A8" s="20" t="s">
        <v>51</v>
      </c>
      <c r="B8" s="21">
        <v>258930.75818170299</v>
      </c>
      <c r="C8" s="21">
        <v>9491.3146241800005</v>
      </c>
      <c r="D8" s="27">
        <f t="shared" si="6"/>
        <v>3.6655802079409709E-2</v>
      </c>
      <c r="E8" s="22">
        <v>316096.76630856801</v>
      </c>
      <c r="F8" s="22">
        <v>9918.5477886730005</v>
      </c>
      <c r="G8" s="30">
        <f t="shared" si="1"/>
        <v>3.1378200746889927E-2</v>
      </c>
      <c r="H8" s="23">
        <v>362271.41670786904</v>
      </c>
      <c r="I8" s="23">
        <v>12862.984766865997</v>
      </c>
      <c r="J8" s="31">
        <f t="shared" si="2"/>
        <v>3.5506485396385935E-2</v>
      </c>
      <c r="K8" s="24">
        <v>395097.39908172796</v>
      </c>
      <c r="L8" s="13">
        <v>14283.992055733001</v>
      </c>
      <c r="M8" s="32">
        <f t="shared" si="3"/>
        <v>3.615309057698525E-2</v>
      </c>
      <c r="N8" s="25">
        <v>390063.67908035609</v>
      </c>
      <c r="O8" s="17">
        <v>14674.538822595003</v>
      </c>
      <c r="P8" s="33">
        <f t="shared" si="4"/>
        <v>3.7620879896310307E-2</v>
      </c>
      <c r="Q8" s="82">
        <f t="shared" si="7"/>
        <v>1722460.019360224</v>
      </c>
      <c r="R8" s="34">
        <f t="shared" si="5"/>
        <v>3.5548794961749106E-2</v>
      </c>
      <c r="S8" s="73">
        <f t="shared" si="8"/>
        <v>1.0053614458500957</v>
      </c>
    </row>
    <row r="9" spans="1:19">
      <c r="A9" s="20" t="s">
        <v>52</v>
      </c>
      <c r="B9" s="21">
        <v>885454.13309693371</v>
      </c>
      <c r="C9" s="21">
        <v>36083.674124598998</v>
      </c>
      <c r="D9" s="27">
        <f t="shared" ref="D9:D26" si="9">IFERROR((C9/B9),0)</f>
        <v>4.0751601665005494E-2</v>
      </c>
      <c r="E9" s="22">
        <v>975994.64644901024</v>
      </c>
      <c r="F9" s="22">
        <v>35285.436337774998</v>
      </c>
      <c r="G9" s="30">
        <f t="shared" si="1"/>
        <v>3.6153309309794913E-2</v>
      </c>
      <c r="H9" s="23">
        <v>1006068.6768996902</v>
      </c>
      <c r="I9" s="23">
        <v>34738.644525522002</v>
      </c>
      <c r="J9" s="31">
        <f t="shared" si="2"/>
        <v>3.452909858258673E-2</v>
      </c>
      <c r="K9" s="24">
        <v>1139156.5708735343</v>
      </c>
      <c r="L9" s="13">
        <v>37217.230885249992</v>
      </c>
      <c r="M9" s="32">
        <f t="shared" si="3"/>
        <v>3.2670865302309469E-2</v>
      </c>
      <c r="N9" s="25">
        <v>1166722.5357255845</v>
      </c>
      <c r="O9" s="17">
        <v>39602.273208277991</v>
      </c>
      <c r="P9" s="33">
        <f t="shared" si="4"/>
        <v>3.3943180144068566E-2</v>
      </c>
      <c r="Q9" s="83">
        <f t="shared" si="7"/>
        <v>5173396.5630447529</v>
      </c>
      <c r="R9" s="39">
        <f t="shared" si="5"/>
        <v>3.5359218426851836E-2</v>
      </c>
      <c r="S9" s="36">
        <v>1</v>
      </c>
    </row>
    <row r="10" spans="1:19">
      <c r="A10" s="20" t="s">
        <v>53</v>
      </c>
      <c r="B10" s="21">
        <v>97886.333302232029</v>
      </c>
      <c r="C10" s="21">
        <v>4238.8518647659985</v>
      </c>
      <c r="D10" s="27">
        <f t="shared" si="9"/>
        <v>4.3303817006590674E-2</v>
      </c>
      <c r="E10" s="22">
        <v>99751.171752131952</v>
      </c>
      <c r="F10" s="22">
        <v>5515.510900334998</v>
      </c>
      <c r="G10" s="30">
        <f t="shared" si="1"/>
        <v>5.5292692842148161E-2</v>
      </c>
      <c r="H10" s="23">
        <v>109841.89855676997</v>
      </c>
      <c r="I10" s="23">
        <v>6110.5040150400009</v>
      </c>
      <c r="J10" s="31">
        <f t="shared" si="2"/>
        <v>5.5629992701572685E-2</v>
      </c>
      <c r="K10" s="24">
        <v>130792.93214926905</v>
      </c>
      <c r="L10" s="13">
        <v>3879.9345904479992</v>
      </c>
      <c r="M10" s="32">
        <f t="shared" si="3"/>
        <v>2.9664711438841175E-2</v>
      </c>
      <c r="N10" s="25">
        <v>129883.35765077596</v>
      </c>
      <c r="O10" s="17">
        <v>4290.581976859</v>
      </c>
      <c r="P10" s="33">
        <f t="shared" si="4"/>
        <v>3.3034116567846265E-2</v>
      </c>
      <c r="Q10" s="82">
        <f t="shared" si="7"/>
        <v>568155.69341117889</v>
      </c>
      <c r="R10" s="34">
        <f t="shared" si="5"/>
        <v>4.2304219822458765E-2</v>
      </c>
      <c r="S10" s="73">
        <f t="shared" ref="S10:S26" si="10">R10/R$9*S$9</f>
        <v>1.1964127518817804</v>
      </c>
    </row>
    <row r="11" spans="1:19">
      <c r="A11" s="20" t="s">
        <v>54</v>
      </c>
      <c r="B11" s="21">
        <v>182628.10147439505</v>
      </c>
      <c r="C11" s="21">
        <v>6836.3561044039998</v>
      </c>
      <c r="D11" s="27">
        <f t="shared" si="9"/>
        <v>3.7433210164332105E-2</v>
      </c>
      <c r="E11" s="22">
        <v>217322.82149053394</v>
      </c>
      <c r="F11" s="22">
        <v>5825.4107223569999</v>
      </c>
      <c r="G11" s="30">
        <f t="shared" si="1"/>
        <v>2.6805333569676393E-2</v>
      </c>
      <c r="H11" s="23">
        <v>246935.28460190396</v>
      </c>
      <c r="I11" s="23">
        <v>4047.4609471750009</v>
      </c>
      <c r="J11" s="31">
        <f t="shared" si="2"/>
        <v>1.6390776043610389E-2</v>
      </c>
      <c r="K11" s="24">
        <v>373418.97227493394</v>
      </c>
      <c r="L11" s="13">
        <v>3772.7169067340005</v>
      </c>
      <c r="M11" s="32">
        <f t="shared" si="3"/>
        <v>1.0103174147124734E-2</v>
      </c>
      <c r="N11" s="25">
        <v>387437.15814309602</v>
      </c>
      <c r="O11" s="17">
        <v>4080.030086832001</v>
      </c>
      <c r="P11" s="33">
        <f t="shared" si="4"/>
        <v>1.0530817710894634E-2</v>
      </c>
      <c r="Q11" s="82">
        <f t="shared" si="7"/>
        <v>1407742.337984863</v>
      </c>
      <c r="R11" s="34">
        <f t="shared" si="5"/>
        <v>1.7447777270563351E-2</v>
      </c>
      <c r="S11" s="73">
        <f t="shared" si="10"/>
        <v>0.49344352185435991</v>
      </c>
    </row>
    <row r="12" spans="1:19">
      <c r="A12" s="20" t="s">
        <v>55</v>
      </c>
      <c r="B12" s="21">
        <v>214185.10145591007</v>
      </c>
      <c r="C12" s="21">
        <v>1639.6953832189997</v>
      </c>
      <c r="D12" s="27">
        <f t="shared" si="9"/>
        <v>7.6555062517106517E-3</v>
      </c>
      <c r="E12" s="22">
        <v>244486.45049926403</v>
      </c>
      <c r="F12" s="22">
        <v>2863.3991305119989</v>
      </c>
      <c r="G12" s="30">
        <f t="shared" si="1"/>
        <v>1.1711892927663975E-2</v>
      </c>
      <c r="H12" s="23">
        <v>249782.114317384</v>
      </c>
      <c r="I12" s="23">
        <v>1246.5038461249999</v>
      </c>
      <c r="J12" s="31">
        <f t="shared" si="2"/>
        <v>4.9903647005771516E-3</v>
      </c>
      <c r="K12" s="24">
        <v>369667.50692609308</v>
      </c>
      <c r="L12" s="13">
        <v>1622.9615293360005</v>
      </c>
      <c r="M12" s="32">
        <f t="shared" si="3"/>
        <v>4.3903277916727372E-3</v>
      </c>
      <c r="N12" s="25">
        <v>410520.38090224611</v>
      </c>
      <c r="O12" s="17">
        <v>1952.5148607269994</v>
      </c>
      <c r="P12" s="33">
        <f t="shared" si="4"/>
        <v>4.7561947020407155E-3</v>
      </c>
      <c r="Q12" s="82">
        <f t="shared" si="7"/>
        <v>1488641.5541008972</v>
      </c>
      <c r="R12" s="34">
        <f t="shared" si="5"/>
        <v>6.2641505097250317E-3</v>
      </c>
      <c r="S12" s="73">
        <f t="shared" si="10"/>
        <v>0.17715749353124921</v>
      </c>
    </row>
    <row r="13" spans="1:19">
      <c r="A13" s="20" t="s">
        <v>56</v>
      </c>
      <c r="B13" s="21">
        <v>221923.09853232003</v>
      </c>
      <c r="C13" s="21">
        <v>5473.1770369889982</v>
      </c>
      <c r="D13" s="27">
        <f t="shared" si="9"/>
        <v>2.4662493779086747E-2</v>
      </c>
      <c r="E13" s="22">
        <v>248217.786773573</v>
      </c>
      <c r="F13" s="22">
        <v>4606.0180321130001</v>
      </c>
      <c r="G13" s="30">
        <f t="shared" si="1"/>
        <v>1.8556357672766862E-2</v>
      </c>
      <c r="H13" s="23">
        <v>269360.01763500896</v>
      </c>
      <c r="I13" s="23">
        <v>6190.0444836259985</v>
      </c>
      <c r="J13" s="31">
        <f t="shared" si="2"/>
        <v>2.2980561621486442E-2</v>
      </c>
      <c r="K13" s="24">
        <v>356071.24618498405</v>
      </c>
      <c r="L13" s="13">
        <v>6598.8564366480005</v>
      </c>
      <c r="M13" s="32">
        <f t="shared" si="3"/>
        <v>1.8532404700883378E-2</v>
      </c>
      <c r="N13" s="25">
        <v>354262.43110898207</v>
      </c>
      <c r="O13" s="17">
        <v>7589.058797963</v>
      </c>
      <c r="P13" s="33">
        <f t="shared" si="4"/>
        <v>2.1422138312002865E-2</v>
      </c>
      <c r="Q13" s="82">
        <f t="shared" si="7"/>
        <v>1449834.580234868</v>
      </c>
      <c r="R13" s="34">
        <f t="shared" si="5"/>
        <v>2.1007330906954263E-2</v>
      </c>
      <c r="S13" s="73">
        <f t="shared" si="10"/>
        <v>0.59411185658451282</v>
      </c>
    </row>
    <row r="14" spans="1:19">
      <c r="A14" s="20" t="s">
        <v>57</v>
      </c>
      <c r="B14" s="21">
        <v>21822.168508360999</v>
      </c>
      <c r="C14" s="21">
        <v>2.7760182879999999</v>
      </c>
      <c r="D14" s="27">
        <f t="shared" si="9"/>
        <v>1.2721092713294691E-4</v>
      </c>
      <c r="E14" s="22">
        <v>25068.059434772003</v>
      </c>
      <c r="F14" s="22">
        <v>3.4761206940000005</v>
      </c>
      <c r="G14" s="30">
        <f t="shared" si="1"/>
        <v>1.3866732297507879E-4</v>
      </c>
      <c r="H14" s="23">
        <v>28900.533102657995</v>
      </c>
      <c r="I14" s="23">
        <v>7.3280990789999993</v>
      </c>
      <c r="J14" s="31">
        <f t="shared" si="2"/>
        <v>2.5356276484484749E-4</v>
      </c>
      <c r="K14" s="24">
        <v>65292.341425156999</v>
      </c>
      <c r="L14" s="13">
        <v>1.1215222249999999</v>
      </c>
      <c r="M14" s="32">
        <f t="shared" si="3"/>
        <v>1.7176933779983569E-5</v>
      </c>
      <c r="N14" s="25">
        <v>66283.039640285002</v>
      </c>
      <c r="O14" s="17">
        <v>4.0898340540000007</v>
      </c>
      <c r="P14" s="33">
        <f t="shared" si="4"/>
        <v>6.1702572425696551E-5</v>
      </c>
      <c r="Q14" s="82">
        <f t="shared" si="7"/>
        <v>207366.14211123303</v>
      </c>
      <c r="R14" s="34">
        <f t="shared" si="5"/>
        <v>9.0620359469869598E-5</v>
      </c>
      <c r="S14" s="73">
        <f t="shared" si="10"/>
        <v>2.5628496189002972E-3</v>
      </c>
    </row>
    <row r="15" spans="1:19">
      <c r="A15" s="20" t="s">
        <v>58</v>
      </c>
      <c r="B15" s="21">
        <v>10104.464484026004</v>
      </c>
      <c r="C15" s="21">
        <v>127.84029567599998</v>
      </c>
      <c r="D15" s="27">
        <f t="shared" si="9"/>
        <v>1.2651862538395852E-2</v>
      </c>
      <c r="E15" s="22">
        <v>12322.445955850995</v>
      </c>
      <c r="F15" s="22">
        <v>100.47430231600002</v>
      </c>
      <c r="G15" s="30">
        <f t="shared" si="1"/>
        <v>8.1537628711037188E-3</v>
      </c>
      <c r="H15" s="23">
        <v>14193.834602311003</v>
      </c>
      <c r="I15" s="23">
        <v>118.89660041600001</v>
      </c>
      <c r="J15" s="31">
        <f t="shared" si="2"/>
        <v>8.3766370221505602E-3</v>
      </c>
      <c r="K15" s="24">
        <v>16876.958019027999</v>
      </c>
      <c r="L15" s="13">
        <v>228.11035196099999</v>
      </c>
      <c r="M15" s="32">
        <f t="shared" si="3"/>
        <v>1.3516082205324915E-2</v>
      </c>
      <c r="N15" s="25">
        <v>17118.090599569005</v>
      </c>
      <c r="O15" s="17">
        <v>237.39842183099995</v>
      </c>
      <c r="P15" s="33">
        <f t="shared" si="4"/>
        <v>1.3868276981603141E-2</v>
      </c>
      <c r="Q15" s="82">
        <f t="shared" si="7"/>
        <v>70615.793660785013</v>
      </c>
      <c r="R15" s="34">
        <f t="shared" si="5"/>
        <v>1.1509039693075445E-2</v>
      </c>
      <c r="S15" s="73">
        <f t="shared" si="10"/>
        <v>0.32548908615964955</v>
      </c>
    </row>
    <row r="16" spans="1:19">
      <c r="A16" s="20" t="s">
        <v>59</v>
      </c>
      <c r="B16" s="21">
        <v>19091.919307401993</v>
      </c>
      <c r="C16" s="21">
        <v>318.24443428500001</v>
      </c>
      <c r="D16" s="27">
        <f t="shared" si="9"/>
        <v>1.6669064495868455E-2</v>
      </c>
      <c r="E16" s="22">
        <v>22698.384361263004</v>
      </c>
      <c r="F16" s="22">
        <v>381.48070697500003</v>
      </c>
      <c r="G16" s="30">
        <f t="shared" si="1"/>
        <v>1.680651366649839E-2</v>
      </c>
      <c r="H16" s="23">
        <v>33575.706426737997</v>
      </c>
      <c r="I16" s="23">
        <v>412.84410525300007</v>
      </c>
      <c r="J16" s="31">
        <f t="shared" si="2"/>
        <v>1.2295917173144922E-2</v>
      </c>
      <c r="K16" s="24">
        <v>37410.078893053003</v>
      </c>
      <c r="L16" s="13">
        <v>455.56627905599998</v>
      </c>
      <c r="M16" s="32">
        <f t="shared" si="3"/>
        <v>1.2177634812221633E-2</v>
      </c>
      <c r="N16" s="25">
        <v>37983.902800777993</v>
      </c>
      <c r="O16" s="17">
        <v>349.66064615000005</v>
      </c>
      <c r="P16" s="33">
        <f t="shared" si="4"/>
        <v>9.2054954959193466E-3</v>
      </c>
      <c r="Q16" s="82">
        <f t="shared" si="7"/>
        <v>150759.99178923399</v>
      </c>
      <c r="R16" s="34">
        <f t="shared" si="5"/>
        <v>1.272085616985257E-2</v>
      </c>
      <c r="S16" s="73">
        <f t="shared" si="10"/>
        <v>0.35976067163838482</v>
      </c>
    </row>
    <row r="17" spans="1:19">
      <c r="A17" s="20" t="s">
        <v>60</v>
      </c>
      <c r="B17" s="21">
        <v>72376.81321297602</v>
      </c>
      <c r="C17" s="21">
        <v>1828.3772694950003</v>
      </c>
      <c r="D17" s="27">
        <f t="shared" si="9"/>
        <v>2.5261920058773757E-2</v>
      </c>
      <c r="E17" s="22">
        <v>79913.611026804007</v>
      </c>
      <c r="F17" s="22">
        <v>1474.0174806679995</v>
      </c>
      <c r="G17" s="30">
        <f t="shared" si="1"/>
        <v>1.8445136713614356E-2</v>
      </c>
      <c r="H17" s="23">
        <v>82542.866838113987</v>
      </c>
      <c r="I17" s="23">
        <v>1838.698694019</v>
      </c>
      <c r="J17" s="31">
        <f t="shared" si="2"/>
        <v>2.2275682496285493E-2</v>
      </c>
      <c r="K17" s="24">
        <v>158562.63882329999</v>
      </c>
      <c r="L17" s="13">
        <v>3137.2584060080007</v>
      </c>
      <c r="M17" s="32">
        <f t="shared" si="3"/>
        <v>1.9785609203338991E-2</v>
      </c>
      <c r="N17" s="25">
        <v>149488.80285354794</v>
      </c>
      <c r="O17" s="17">
        <v>3353.1783497410011</v>
      </c>
      <c r="P17" s="33">
        <f t="shared" si="4"/>
        <v>2.2430966639194125E-2</v>
      </c>
      <c r="Q17" s="82">
        <f t="shared" si="7"/>
        <v>542884.73275474191</v>
      </c>
      <c r="R17" s="34">
        <f t="shared" si="5"/>
        <v>2.1425414085434885E-2</v>
      </c>
      <c r="S17" s="73">
        <f t="shared" si="10"/>
        <v>0.60593573723237049</v>
      </c>
    </row>
    <row r="18" spans="1:19">
      <c r="A18" s="20" t="s">
        <v>61</v>
      </c>
      <c r="B18" s="21">
        <v>2744.0848069060003</v>
      </c>
      <c r="C18" s="21">
        <v>56.849593675999991</v>
      </c>
      <c r="D18" s="27">
        <f t="shared" si="9"/>
        <v>2.0717141661557765E-2</v>
      </c>
      <c r="E18" s="22">
        <v>2715.3195144460005</v>
      </c>
      <c r="F18" s="22">
        <v>59.067046446999989</v>
      </c>
      <c r="G18" s="30">
        <f t="shared" si="1"/>
        <v>2.1753258182969779E-2</v>
      </c>
      <c r="H18" s="23">
        <v>3414.8110683700002</v>
      </c>
      <c r="I18" s="23">
        <v>63.935015888999999</v>
      </c>
      <c r="J18" s="31">
        <f t="shared" si="2"/>
        <v>1.872285599669157E-2</v>
      </c>
      <c r="K18" s="24">
        <v>4001.6227065810008</v>
      </c>
      <c r="L18" s="13">
        <v>109.05195651599999</v>
      </c>
      <c r="M18" s="32">
        <f t="shared" si="3"/>
        <v>2.7251933655977858E-2</v>
      </c>
      <c r="N18" s="25">
        <v>3892.1459921600012</v>
      </c>
      <c r="O18" s="17">
        <v>137.59703892299999</v>
      </c>
      <c r="P18" s="33">
        <f t="shared" si="4"/>
        <v>3.5352486571717363E-2</v>
      </c>
      <c r="Q18" s="82">
        <f t="shared" si="7"/>
        <v>16767.984088463003</v>
      </c>
      <c r="R18" s="34">
        <f t="shared" si="5"/>
        <v>2.5435416040527393E-2</v>
      </c>
      <c r="S18" s="73">
        <f t="shared" si="10"/>
        <v>0.71934327658135411</v>
      </c>
    </row>
    <row r="19" spans="1:19">
      <c r="A19" s="20" t="s">
        <v>62</v>
      </c>
      <c r="B19" s="21">
        <v>155.51212057499998</v>
      </c>
      <c r="C19" s="21">
        <v>14.057797221000001</v>
      </c>
      <c r="D19" s="27">
        <f t="shared" si="9"/>
        <v>9.0396794597243257E-2</v>
      </c>
      <c r="E19" s="22">
        <v>172.86296454300006</v>
      </c>
      <c r="F19" s="22">
        <v>6.9558481000000005E-2</v>
      </c>
      <c r="G19" s="30">
        <f t="shared" si="1"/>
        <v>4.0239088334446081E-4</v>
      </c>
      <c r="H19" s="23">
        <v>279.68645500799994</v>
      </c>
      <c r="I19" s="23">
        <v>0</v>
      </c>
      <c r="J19" s="31">
        <f t="shared" si="2"/>
        <v>0</v>
      </c>
      <c r="K19" s="24">
        <v>18.030403465000003</v>
      </c>
      <c r="L19" s="13">
        <v>0.15025232899999999</v>
      </c>
      <c r="M19" s="32">
        <f t="shared" si="3"/>
        <v>8.3332760296609357E-3</v>
      </c>
      <c r="N19" s="25">
        <v>16.932555874000002</v>
      </c>
      <c r="O19" s="17">
        <v>1.8406995999999998E-2</v>
      </c>
      <c r="P19" s="33">
        <f t="shared" si="4"/>
        <v>1.0870772337603211E-3</v>
      </c>
      <c r="Q19" s="82">
        <f t="shared" si="7"/>
        <v>643.02449946499996</v>
      </c>
      <c r="R19" s="34">
        <f t="shared" si="5"/>
        <v>2.2232457766219432E-2</v>
      </c>
      <c r="S19" s="73">
        <f t="shared" si="10"/>
        <v>0.62875987522778709</v>
      </c>
    </row>
    <row r="20" spans="1:19">
      <c r="A20" s="20" t="s">
        <v>63</v>
      </c>
      <c r="B20" s="21">
        <v>2751.5683364449997</v>
      </c>
      <c r="C20" s="21">
        <v>156.803809535</v>
      </c>
      <c r="D20" s="27">
        <f t="shared" si="9"/>
        <v>5.698706714207543E-2</v>
      </c>
      <c r="E20" s="22">
        <v>2257.365263402</v>
      </c>
      <c r="F20" s="22">
        <v>282.01535019599993</v>
      </c>
      <c r="G20" s="30">
        <f t="shared" si="1"/>
        <v>0.12493119955739196</v>
      </c>
      <c r="H20" s="23">
        <v>1975.9209834499998</v>
      </c>
      <c r="I20" s="23">
        <v>129.91026486899997</v>
      </c>
      <c r="J20" s="31">
        <f t="shared" si="2"/>
        <v>6.5746690255889639E-2</v>
      </c>
      <c r="K20" s="24">
        <v>0</v>
      </c>
      <c r="L20" s="13">
        <v>0</v>
      </c>
      <c r="M20" s="32">
        <f t="shared" si="3"/>
        <v>0</v>
      </c>
      <c r="N20" s="25">
        <v>0</v>
      </c>
      <c r="O20" s="17">
        <v>0</v>
      </c>
      <c r="P20" s="33">
        <f t="shared" si="4"/>
        <v>0</v>
      </c>
      <c r="Q20" s="82">
        <f t="shared" si="7"/>
        <v>6984.8545832969994</v>
      </c>
      <c r="R20" s="34">
        <f t="shared" si="5"/>
        <v>8.1423230479273273E-2</v>
      </c>
      <c r="S20" s="73">
        <f t="shared" si="10"/>
        <v>2.3027440679356297</v>
      </c>
    </row>
    <row r="21" spans="1:19">
      <c r="A21" s="20" t="s">
        <v>64</v>
      </c>
      <c r="B21" s="21">
        <v>392912.60863620695</v>
      </c>
      <c r="C21" s="21">
        <v>9957.5683192359975</v>
      </c>
      <c r="D21" s="27">
        <f t="shared" si="9"/>
        <v>2.5342959478441146E-2</v>
      </c>
      <c r="E21" s="22">
        <v>445195.592375751</v>
      </c>
      <c r="F21" s="22">
        <v>10273.660943019</v>
      </c>
      <c r="G21" s="30">
        <f t="shared" si="1"/>
        <v>2.3076735526949901E-2</v>
      </c>
      <c r="H21" s="23">
        <v>479927.74303446698</v>
      </c>
      <c r="I21" s="23">
        <v>12119.763988868997</v>
      </c>
      <c r="J21" s="31">
        <f t="shared" si="2"/>
        <v>2.5253309825847246E-2</v>
      </c>
      <c r="K21" s="24">
        <v>659766.10442708223</v>
      </c>
      <c r="L21" s="13">
        <v>15381.520441384999</v>
      </c>
      <c r="M21" s="32">
        <f t="shared" si="3"/>
        <v>2.3313596042860936E-2</v>
      </c>
      <c r="N21" s="25">
        <v>637903.49927253509</v>
      </c>
      <c r="O21" s="17">
        <v>14870.479397582998</v>
      </c>
      <c r="P21" s="33">
        <f t="shared" si="4"/>
        <v>2.3311487418616276E-2</v>
      </c>
      <c r="Q21" s="82">
        <f t="shared" si="7"/>
        <v>2615705.5477460423</v>
      </c>
      <c r="R21" s="34">
        <f t="shared" si="5"/>
        <v>2.3933501668044057E-2</v>
      </c>
      <c r="S21" s="73">
        <f t="shared" si="10"/>
        <v>0.6768673837504543</v>
      </c>
    </row>
    <row r="22" spans="1:19">
      <c r="A22" s="20" t="s">
        <v>65</v>
      </c>
      <c r="B22" s="21">
        <v>15439.750603913</v>
      </c>
      <c r="C22" s="21">
        <v>329.00345929199983</v>
      </c>
      <c r="D22" s="27">
        <f t="shared" si="9"/>
        <v>2.1308858396237196E-2</v>
      </c>
      <c r="E22" s="22">
        <v>19913.32270202299</v>
      </c>
      <c r="F22" s="22">
        <v>364.23216980400002</v>
      </c>
      <c r="G22" s="30">
        <f t="shared" si="1"/>
        <v>1.8290878687312075E-2</v>
      </c>
      <c r="H22" s="23">
        <v>22309.276568985002</v>
      </c>
      <c r="I22" s="23">
        <v>347.94722034900002</v>
      </c>
      <c r="J22" s="31">
        <f t="shared" si="2"/>
        <v>1.5596526372026166E-2</v>
      </c>
      <c r="K22" s="24">
        <v>29551.541088071004</v>
      </c>
      <c r="L22" s="13">
        <v>710.45874213700006</v>
      </c>
      <c r="M22" s="32">
        <f t="shared" si="3"/>
        <v>2.4041343225372065E-2</v>
      </c>
      <c r="N22" s="25">
        <v>29630.004071171996</v>
      </c>
      <c r="O22" s="17">
        <v>776.76698815800012</v>
      </c>
      <c r="P22" s="33">
        <f t="shared" si="4"/>
        <v>2.6215554553829516E-2</v>
      </c>
      <c r="Q22" s="82">
        <f t="shared" si="7"/>
        <v>116843.895034164</v>
      </c>
      <c r="R22" s="34">
        <f t="shared" si="5"/>
        <v>2.1639201423409568E-2</v>
      </c>
      <c r="S22" s="73">
        <f t="shared" si="10"/>
        <v>0.61198189287398763</v>
      </c>
    </row>
    <row r="23" spans="1:19">
      <c r="A23" s="20" t="s">
        <v>66</v>
      </c>
      <c r="B23" s="21">
        <v>27117.338830759003</v>
      </c>
      <c r="C23" s="21">
        <v>1157.1688938039997</v>
      </c>
      <c r="D23" s="27">
        <f t="shared" si="9"/>
        <v>4.2672656820271437E-2</v>
      </c>
      <c r="E23" s="22">
        <v>25547.601032899998</v>
      </c>
      <c r="F23" s="22">
        <v>1226.7462967879999</v>
      </c>
      <c r="G23" s="30">
        <f t="shared" si="1"/>
        <v>4.8018062252037121E-2</v>
      </c>
      <c r="H23" s="23">
        <v>24340.125329325998</v>
      </c>
      <c r="I23" s="23">
        <v>1353.0540877299998</v>
      </c>
      <c r="J23" s="31">
        <f t="shared" si="2"/>
        <v>5.5589446209620939E-2</v>
      </c>
      <c r="K23" s="24">
        <v>22475.890473017</v>
      </c>
      <c r="L23" s="13">
        <v>935.38900838500012</v>
      </c>
      <c r="M23" s="32">
        <f t="shared" si="3"/>
        <v>4.161743934052195E-2</v>
      </c>
      <c r="N23" s="25">
        <v>70113.807600365006</v>
      </c>
      <c r="O23" s="17">
        <v>2737.1415291310013</v>
      </c>
      <c r="P23" s="33">
        <f t="shared" si="4"/>
        <v>3.9038552074252948E-2</v>
      </c>
      <c r="Q23" s="82">
        <f t="shared" si="7"/>
        <v>169594.76326636702</v>
      </c>
      <c r="R23" s="34">
        <f t="shared" si="5"/>
        <v>4.3689437534109331E-2</v>
      </c>
      <c r="S23" s="73">
        <f t="shared" si="10"/>
        <v>1.2355883268316676</v>
      </c>
    </row>
    <row r="24" spans="1:19">
      <c r="A24" s="20" t="s">
        <v>67</v>
      </c>
      <c r="B24" s="21">
        <v>124535.57502611601</v>
      </c>
      <c r="C24" s="21">
        <v>1630.3875802530001</v>
      </c>
      <c r="D24" s="27">
        <f t="shared" si="9"/>
        <v>1.3091741696387526E-2</v>
      </c>
      <c r="E24" s="22">
        <v>140449.14579225701</v>
      </c>
      <c r="F24" s="22">
        <v>1919.0135294780002</v>
      </c>
      <c r="G24" s="30">
        <f t="shared" si="1"/>
        <v>1.3663404776533683E-2</v>
      </c>
      <c r="H24" s="23">
        <v>140399.10628944295</v>
      </c>
      <c r="I24" s="23">
        <v>1904.3377075890005</v>
      </c>
      <c r="J24" s="31">
        <f t="shared" si="2"/>
        <v>1.3563745225436621E-2</v>
      </c>
      <c r="K24" s="24">
        <v>131419.36622208401</v>
      </c>
      <c r="L24" s="13">
        <v>2593.8781104149998</v>
      </c>
      <c r="M24" s="32">
        <f t="shared" si="3"/>
        <v>1.9737411501678043E-2</v>
      </c>
      <c r="N24" s="25">
        <v>134794.04937880297</v>
      </c>
      <c r="O24" s="17">
        <v>2781.1692329889997</v>
      </c>
      <c r="P24" s="33">
        <f t="shared" si="4"/>
        <v>2.0632730048588867E-2</v>
      </c>
      <c r="Q24" s="82">
        <f t="shared" si="7"/>
        <v>671597.24270870304</v>
      </c>
      <c r="R24" s="34">
        <f t="shared" si="5"/>
        <v>1.6123928855111234E-2</v>
      </c>
      <c r="S24" s="73">
        <f t="shared" si="10"/>
        <v>0.45600354228606765</v>
      </c>
    </row>
    <row r="25" spans="1:19">
      <c r="A25" s="20" t="s">
        <v>68</v>
      </c>
      <c r="B25" s="21">
        <v>542079.26916806493</v>
      </c>
      <c r="C25" s="21">
        <v>5088.6136593230003</v>
      </c>
      <c r="D25" s="27">
        <f t="shared" si="9"/>
        <v>9.3872131784942681E-3</v>
      </c>
      <c r="E25" s="22">
        <v>606712.09359202511</v>
      </c>
      <c r="F25" s="22">
        <v>5855.5198368539995</v>
      </c>
      <c r="G25" s="30">
        <f t="shared" si="1"/>
        <v>9.6512330950690763E-3</v>
      </c>
      <c r="H25" s="23">
        <v>652363.86688516813</v>
      </c>
      <c r="I25" s="23">
        <v>6490.3706437200026</v>
      </c>
      <c r="J25" s="31">
        <f t="shared" si="2"/>
        <v>9.9490038813913415E-3</v>
      </c>
      <c r="K25" s="24">
        <v>820985.12464504514</v>
      </c>
      <c r="L25" s="13">
        <v>10271.008942646</v>
      </c>
      <c r="M25" s="32">
        <f t="shared" si="3"/>
        <v>1.2510590794305432E-2</v>
      </c>
      <c r="N25" s="25">
        <v>834120.156444725</v>
      </c>
      <c r="O25" s="17">
        <v>11430.189349115997</v>
      </c>
      <c r="P25" s="33">
        <f t="shared" si="4"/>
        <v>1.3703288741798252E-2</v>
      </c>
      <c r="Q25" s="82">
        <f t="shared" si="7"/>
        <v>3456260.5107350284</v>
      </c>
      <c r="R25" s="34">
        <f t="shared" si="5"/>
        <v>1.1323134442587538E-2</v>
      </c>
      <c r="S25" s="73">
        <f t="shared" si="10"/>
        <v>0.32023146852105577</v>
      </c>
    </row>
    <row r="26" spans="1:19">
      <c r="A26" s="20" t="s">
        <v>69</v>
      </c>
      <c r="B26" s="21">
        <v>233317.03989158693</v>
      </c>
      <c r="C26" s="21">
        <v>2978.3923700750001</v>
      </c>
      <c r="D26" s="27">
        <f t="shared" si="9"/>
        <v>1.2765430126573437E-2</v>
      </c>
      <c r="E26" s="22">
        <v>235841.29253493802</v>
      </c>
      <c r="F26" s="22">
        <v>3010.8678843979997</v>
      </c>
      <c r="G26" s="30">
        <f t="shared" si="1"/>
        <v>1.2766500098586269E-2</v>
      </c>
      <c r="H26" s="23">
        <v>240192.61218514093</v>
      </c>
      <c r="I26" s="23">
        <v>2690.3203226530004</v>
      </c>
      <c r="J26" s="31">
        <f t="shared" si="2"/>
        <v>1.1200678897564494E-2</v>
      </c>
      <c r="K26" s="24">
        <v>269457.59862389305</v>
      </c>
      <c r="L26" s="13">
        <v>2793.5843524300003</v>
      </c>
      <c r="M26" s="32">
        <f t="shared" si="3"/>
        <v>1.036743579211238E-2</v>
      </c>
      <c r="N26" s="25">
        <v>274280.75750372506</v>
      </c>
      <c r="O26" s="17">
        <v>3086.1506355200004</v>
      </c>
      <c r="P26" s="33">
        <f t="shared" si="4"/>
        <v>1.1251794196601949E-2</v>
      </c>
      <c r="Q26" s="82">
        <f t="shared" si="7"/>
        <v>1253089.3007392841</v>
      </c>
      <c r="R26" s="34">
        <f t="shared" si="5"/>
        <v>1.1618737432748369E-2</v>
      </c>
      <c r="S26" s="73">
        <f t="shared" si="10"/>
        <v>0.32859146637486436</v>
      </c>
    </row>
  </sheetData>
  <mergeCells count="9">
    <mergeCell ref="R1:R2"/>
    <mergeCell ref="S1:S2"/>
    <mergeCell ref="A1:A2"/>
    <mergeCell ref="B1:D1"/>
    <mergeCell ref="E1:G1"/>
    <mergeCell ref="H1:J1"/>
    <mergeCell ref="K1:M1"/>
    <mergeCell ref="N1:P1"/>
    <mergeCell ref="Q1: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 NPL Produktif Provinsi</vt:lpstr>
      <vt:lpstr>Template NPL Konsumtif Provinsi</vt:lpstr>
      <vt:lpstr>Template NPL Jenis Bank</vt:lpstr>
      <vt:lpstr>Template NPL 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Husam Al Faruqi</dc:creator>
  <cp:lastModifiedBy>Husam Al Faruqi</cp:lastModifiedBy>
  <dcterms:created xsi:type="dcterms:W3CDTF">2015-06-05T18:17:20Z</dcterms:created>
  <dcterms:modified xsi:type="dcterms:W3CDTF">2026-01-19T10:07:01Z</dcterms:modified>
</cp:coreProperties>
</file>